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SD Master Tracker" sheetId="1" state="visible" r:id="rId3"/>
    <sheet name="What Works (Verified)" sheetId="2" state="visible" r:id="rId4"/>
    <sheet name="Potential Bloat" sheetId="3" state="visible" r:id="rId5"/>
    <sheet name="Summary" sheetId="4" state="visible" r:id="rId6"/>
  </sheets>
  <definedNames>
    <definedName function="false" hidden="true" localSheetId="0" name="_xlnm._FilterDatabase" vbProcedure="false">'GSD Master Tracker'!$A$1:$N$53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<sst xmlns="http://schemas.openxmlformats.org/spreadsheetml/2006/main" count="1059" uniqueCount="550">
  <si>
    <t xml:space="preserve">#</t>
  </si>
  <si>
    <t xml:space="preserve">Priority</t>
  </si>
  <si>
    <t xml:space="preserve">Category</t>
  </si>
  <si>
    <t xml:space="preserve">Area</t>
  </si>
  <si>
    <t xml:space="preserve">Issue / Task</t>
  </si>
  <si>
    <t xml:space="preserve">Current State</t>
  </si>
  <si>
    <t xml:space="preserve">Required Action</t>
  </si>
  <si>
    <t xml:space="preserve">Status</t>
  </si>
  <si>
    <t xml:space="preserve">Effort</t>
  </si>
  <si>
    <t xml:space="preserve">Impact</t>
  </si>
  <si>
    <t xml:space="preserve">Owner</t>
  </si>
  <si>
    <t xml:space="preserve">Due Date</t>
  </si>
  <si>
    <t xml:space="preserve">Verified?</t>
  </si>
  <si>
    <t xml:space="preserve">Notes</t>
  </si>
  <si>
    <t xml:space="preserve">P0</t>
  </si>
  <si>
    <t xml:space="preserve">Security</t>
  </si>
  <si>
    <t xml:space="preserve">Scanner + Marketing</t>
  </si>
  <si>
    <t xml:space="preserve">VITE_QR_SIGNING_SECRET exposed client-side</t>
  </si>
  <si>
    <t xml:space="preserve">CRITICAL - Secret in browser JS</t>
  </si>
  <si>
    <t xml:space="preserve">Move to Supabase Edge Function; scanner sends token+sig to server for validation</t>
  </si>
  <si>
    <t xml:space="preserve">NOT STARTED</t>
  </si>
  <si>
    <t xml:space="preserve">1 day</t>
  </si>
  <si>
    <t xml:space="preserve">Critical</t>
  </si>
  <si>
    <t xml:space="preserve">NO</t>
  </si>
  <si>
    <t xml:space="preserve">Attacker can forge QR codes with this secret</t>
  </si>
  <si>
    <t xml:space="preserve">Payment</t>
  </si>
  <si>
    <t xml:space="preserve">Ticket Purchase Site</t>
  </si>
  <si>
    <t xml:space="preserve">Stripe in test mode (pk_test_ / sk_test_)</t>
  </si>
  <si>
    <t xml:space="preserve">EXPOSED - Not production</t>
  </si>
  <si>
    <t xml:space="preserve">Switch to production Stripe keys in Vercel env vars</t>
  </si>
  <si>
    <t xml:space="preserve">No real payments possible until switched</t>
  </si>
  <si>
    <t xml:space="preserve">Webhook (Edge Fn)</t>
  </si>
  <si>
    <t xml:space="preserve">ALLOWED_ORIGINS not set for production</t>
  </si>
  <si>
    <t xml:space="preserve">Defaults to * (any origin)</t>
  </si>
  <si>
    <t xml:space="preserve">Set ALLOWED_ORIGINS env var with production domains</t>
  </si>
  <si>
    <t xml:space="preserve">Webhook accepts requests from any origin</t>
  </si>
  <si>
    <t xml:space="preserve">DevOps</t>
  </si>
  <si>
    <t xml:space="preserve">GitHub Actions</t>
  </si>
  <si>
    <t xml:space="preserve">CI/CD pipeline disabled (needs secrets)</t>
  </si>
  <si>
    <t xml:space="preserve">DISABLED</t>
  </si>
  <si>
    <t xml:space="preserve">Add GitHub Secrets (SUPABASE keys, Stripe keys, Vercel tokens)</t>
  </si>
  <si>
    <t xml:space="preserve">High</t>
  </si>
  <si>
    <t xml:space="preserve">No automated builds, tests, or deploys</t>
  </si>
  <si>
    <t xml:space="preserve">Supabase RLS</t>
  </si>
  <si>
    <t xml:space="preserve">Anon access on VIP reservation data</t>
  </si>
  <si>
    <t xml:space="preserve">EXPOSED</t>
  </si>
  <si>
    <t xml:space="preserve">Audit RLS policies; remove anon SELECT on vip_reservations</t>
  </si>
  <si>
    <t xml:space="preserve">Anyone could query VIP booking data</t>
  </si>
  <si>
    <t xml:space="preserve">Auth</t>
  </si>
  <si>
    <t xml:space="preserve">Scanner Site</t>
  </si>
  <si>
    <t xml:space="preserve">Dashboard routes not protected at route level</t>
  </si>
  <si>
    <t xml:space="preserve">SIDEBAR-ONLY filtering</t>
  </si>
  <si>
    <t xml:space="preserve">Add ProtectedRoute wrapper that checks role before rendering; redirect to /auth if unauthorized</t>
  </si>
  <si>
    <t xml:space="preserve">2 days</t>
  </si>
  <si>
    <t xml:space="preserve">/events, /analytics, /team accessible by direct URL</t>
  </si>
  <si>
    <t xml:space="preserve">No separate owner vs employee login flow</t>
  </si>
  <si>
    <t xml:space="preserve">Single /auth page with demo buttons</t>
  </si>
  <si>
    <t xml:space="preserve">Create dedicated login: owner uses email/password; employees use PIN or simple code; remove demo shortcuts</t>
  </si>
  <si>
    <t xml:space="preserve">3 days</t>
  </si>
  <si>
    <t xml:space="preserve">User specifically requested separate logins</t>
  </si>
  <si>
    <t xml:space="preserve">Demo/test shortcuts on auth page</t>
  </si>
  <si>
    <t xml:space="preserve">EXPOSED in production</t>
  </si>
  <si>
    <t xml:space="preserve">Remove 'Employee/Owner/Demo' quick-access buttons; gate behind dev-only flag</t>
  </si>
  <si>
    <t xml:space="preserve">Anyone can click 'Owner' button and access dashboard</t>
  </si>
  <si>
    <t xml:space="preserve">localStorage auth fallback can leak to production</t>
  </si>
  <si>
    <t xml:space="preserve">Falls back if Supabase not configured</t>
  </si>
  <si>
    <t xml:space="preserve">Add NODE_ENV check; disable localStorage auth in production builds entirely</t>
  </si>
  <si>
    <t xml:space="preserve">If env vars missing in prod, auth bypassed</t>
  </si>
  <si>
    <t xml:space="preserve">P1</t>
  </si>
  <si>
    <t xml:space="preserve">Dashboard</t>
  </si>
  <si>
    <t xml:space="preserve">Owner Dashboard</t>
  </si>
  <si>
    <t xml:space="preserve">Revenue trend percentages are hardcoded (12.5%, 8.2%, -3.1%)</t>
  </si>
  <si>
    <t xml:space="preserve">HARDCODED</t>
  </si>
  <si>
    <t xml:space="preserve">Calculate actual week-over-week and month-over-month deltas from real ticket data</t>
  </si>
  <si>
    <t xml:space="preserve">Medium</t>
  </si>
  <si>
    <t xml:space="preserve">Only fake numbers in entire dashboard</t>
  </si>
  <si>
    <t xml:space="preserve">ticket_count on orders always shows 0</t>
  </si>
  <si>
    <t xml:space="preserve">NOT STORED on orders table</t>
  </si>
  <si>
    <t xml:space="preserve">Add ticket_count column to orders OR join tickets table in query</t>
  </si>
  <si>
    <t xml:space="preserve">RecentPurchases shows 0 tickets per order</t>
  </si>
  <si>
    <t xml:space="preserve">ticket_type on orders always shows 'General'</t>
  </si>
  <si>
    <t xml:space="preserve">Store primary ticket_type on order creation OR join ticket_types in query</t>
  </si>
  <si>
    <t xml:space="preserve">Can't distinguish VIP vs GA in order list</t>
  </si>
  <si>
    <t xml:space="preserve">Staff performance uses raw user_id, not names</t>
  </si>
  <si>
    <t xml:space="preserve">NO USER PROFILES joined</t>
  </si>
  <si>
    <t xml:space="preserve">Join users/profiles table to show actual staff names in leaderboard</t>
  </si>
  <si>
    <t xml:space="preserve">Dashboard shows UUIDs instead of names</t>
  </si>
  <si>
    <t xml:space="preserve">Real-time subscription refetches ENTIRE dashboard</t>
  </si>
  <si>
    <t xml:space="preserve">PERFORMANCE concern</t>
  </si>
  <si>
    <t xml:space="preserve">Subscribe to specific tables; only update affected metrics on change</t>
  </si>
  <si>
    <t xml:space="preserve">Every scan/order triggers full dashboard reload</t>
  </si>
  <si>
    <t xml:space="preserve">Advanced Analytics</t>
  </si>
  <si>
    <t xml:space="preserve">Too many tabs and metrics for a nightclub owner</t>
  </si>
  <si>
    <t xml:space="preserve">OVERLY COMPLEX</t>
  </si>
  <si>
    <t xml:space="preserve">Simplify to 3 views: Money (revenue/orders), Attendance (scans/capacity), Staff (performance)</t>
  </si>
  <si>
    <t xml:space="preserve">Owner wants: how much money? how full? who's working?</t>
  </si>
  <si>
    <t xml:space="preserve">Scanner</t>
  </si>
  <si>
    <t xml:space="preserve">Ticket Scanner</t>
  </si>
  <si>
    <t xml:space="preserve">No event date awareness - doesn't know tonight's event</t>
  </si>
  <si>
    <t xml:space="preserve">MANUAL selection only</t>
  </si>
  <si>
    <t xml:space="preserve">Auto-detect active event from server (event_date = today); default to it; warn on date mismatch</t>
  </si>
  <si>
    <t xml:space="preserve">Staff could scan last month's tickets</t>
  </si>
  <si>
    <t xml:space="preserve">Event dropdown doesn't show dates</t>
  </si>
  <si>
    <t xml:space="preserve">NAME ONLY</t>
  </si>
  <si>
    <t xml:space="preserve">Show format: 'Friday Night - Feb 14' in dropdown</t>
  </si>
  <si>
    <t xml:space="preserve">Staff picks wrong week's event</t>
  </si>
  <si>
    <t xml:space="preserve">Offline mode accepts unknown tickets</t>
  </si>
  <si>
    <t xml:space="preserve">ACCEPTS with warning</t>
  </si>
  <si>
    <t xml:space="preserve">Change to REJECT unknown tickets offline; only accept cached valid tickets</t>
  </si>
  <si>
    <t xml:space="preserve">Invalid tickets get through the door</t>
  </si>
  <si>
    <t xml:space="preserve">Failed scans not logged to server scan_logs</t>
  </si>
  <si>
    <t xml:space="preserve">LOCAL ONLY</t>
  </si>
  <si>
    <t xml:space="preserve">Log all scan attempts (success AND failure) with rejection reason to scan_logs</t>
  </si>
  <si>
    <t xml:space="preserve">Can't audit rejections or fraud attempts</t>
  </si>
  <si>
    <t xml:space="preserve">QR codes without signatures still accepted</t>
  </si>
  <si>
    <t xml:space="preserve">NOT ENFORCED</t>
  </si>
  <si>
    <t xml:space="preserve">Reject QR codes without valid HMAC signature when signing is enabled</t>
  </si>
  <si>
    <t xml:space="preserve">Counterfeit plain QR codes bypass anti-forgery</t>
  </si>
  <si>
    <t xml:space="preserve">No rate limiting on manual entry</t>
  </si>
  <si>
    <t xml:space="preserve">UNLIMITED</t>
  </si>
  <si>
    <t xml:space="preserve">Add per-scanner rate limit: max 1 scan per second</t>
  </si>
  <si>
    <t xml:space="preserve">Fraudster could spam different codes</t>
  </si>
  <si>
    <t xml:space="preserve">No device ID shown to staff</t>
  </si>
  <si>
    <t xml:space="preserve">HIDDEN in localStorage</t>
  </si>
  <si>
    <t xml:space="preserve">Show device name/ID in scanner settings or bottom nav</t>
  </si>
  <si>
    <t xml:space="preserve">Low</t>
  </si>
  <si>
    <t xml:space="preserve">Can't identify which door scanner generated a scan</t>
  </si>
  <si>
    <t xml:space="preserve">VIP</t>
  </si>
  <si>
    <t xml:space="preserve">VIP Floor Plan</t>
  </si>
  <si>
    <t xml:space="preserve">Floor plan is visual only - no drag-drop positioning</t>
  </si>
  <si>
    <t xml:space="preserve">STATIC LAYOUT</t>
  </si>
  <si>
    <t xml:space="preserve">Either: (a) add drag-drop with position persistence, or (b) remove floor plan and use simple table list</t>
  </si>
  <si>
    <t xml:space="preserve">Tables in hardcoded positions, can't be rearranged</t>
  </si>
  <si>
    <t xml:space="preserve">VIP Reservations</t>
  </si>
  <si>
    <t xml:space="preserve">Invite links require manual copy-paste sharing</t>
  </si>
  <si>
    <t xml:space="preserve">MANUAL</t>
  </si>
  <si>
    <t xml:space="preserve">Add 'Send Invite' button that opens email/SMS compose with pre-filled invite URL</t>
  </si>
  <si>
    <t xml:space="preserve">Staff must manually copy URL and text it to customer</t>
  </si>
  <si>
    <t xml:space="preserve">VIP Tables</t>
  </si>
  <si>
    <t xml:space="preserve">VIP table sync to purchase site not explicitly called</t>
  </si>
  <si>
    <t xml:space="preserve">IMPLICIT via event sync</t>
  </si>
  <si>
    <t xml:space="preserve">Add explicit VIP table sync call after table creation/update</t>
  </si>
  <si>
    <t xml:space="preserve">VIP changes may not propagate to purchase site</t>
  </si>
  <si>
    <t xml:space="preserve">Events</t>
  </si>
  <si>
    <t xml:space="preserve">Event Management</t>
  </si>
  <si>
    <t xml:space="preserve">Hardcoded fallback events on marketing site</t>
  </si>
  <si>
    <t xml:space="preserve">FAKE DATA shown on error</t>
  </si>
  <si>
    <t xml:space="preserve">Remove hardcoded events; show proper error state or empty state instead</t>
  </si>
  <si>
    <t xml:space="preserve">If DB query fails, shows fake events</t>
  </si>
  <si>
    <t xml:space="preserve">Code Quality</t>
  </si>
  <si>
    <t xml:space="preserve">orders-service.ts is 2,600 lines</t>
  </si>
  <si>
    <t xml:space="preserve">MONOLITHIC</t>
  </si>
  <si>
    <t xml:space="preserve">Split into: order-creation.ts, payment-processing.ts, email-handler.ts, ticket-generation.ts</t>
  </si>
  <si>
    <t xml:space="preserve">Unmaintainable single file</t>
  </si>
  <si>
    <t xml:space="preserve">AuthContext.tsx is 840 lines</t>
  </si>
  <si>
    <t xml:space="preserve">Split into: SessionProvider, ProfileProvider, TwoFactorProvider</t>
  </si>
  <si>
    <t xml:space="preserve">Too many concerns in one context</t>
  </si>
  <si>
    <t xml:space="preserve">150+ components in flat src/components/</t>
  </si>
  <si>
    <t xml:space="preserve">NO ORGANIZATION</t>
  </si>
  <si>
    <t xml:space="preserve">Organize into feature folders: scanner/, dashboard/, vip/, admin/, monitoring/, ui/</t>
  </si>
  <si>
    <t xml:space="preserve">Hard to find components</t>
  </si>
  <si>
    <t xml:space="preserve">Marketing Site</t>
  </si>
  <si>
    <t xml:space="preserve">TypeScript strict mode disabled</t>
  </si>
  <si>
    <t xml:space="preserve">WEAK TYPES</t>
  </si>
  <si>
    <t xml:space="preserve">Enable noImplicitAny and strictNullChecks in tsconfig</t>
  </si>
  <si>
    <t xml:space="preserve">Type errors not caught at compile time</t>
  </si>
  <si>
    <t xml:space="preserve">SEO</t>
  </si>
  <si>
    <t xml:space="preserve">No sitemap.xml, robots.txt, or structured data</t>
  </si>
  <si>
    <t xml:space="preserve">MISSING</t>
  </si>
  <si>
    <t xml:space="preserve">Add sitemap.xml, robots.txt, and JSON-LD structured data for events</t>
  </si>
  <si>
    <t xml:space="preserve">Google can't index the site optimally</t>
  </si>
  <si>
    <t xml:space="preserve">P2</t>
  </si>
  <si>
    <t xml:space="preserve">Database</t>
  </si>
  <si>
    <t xml:space="preserve">PII stored in plaintext (email, phone, names)</t>
  </si>
  <si>
    <t xml:space="preserve">NOT ENCRYPTED</t>
  </si>
  <si>
    <t xml:space="preserve">Add column-level encryption for customer PII fields</t>
  </si>
  <si>
    <t xml:space="preserve">Performance</t>
  </si>
  <si>
    <t xml:space="preserve">No materialized views for analytics queries</t>
  </si>
  <si>
    <t xml:space="preserve">LIVE TABLE queries</t>
  </si>
  <si>
    <t xml:space="preserve">Create materialized views for revenue/attendance aggregations</t>
  </si>
  <si>
    <t xml:space="preserve">Slow under high load</t>
  </si>
  <si>
    <t xml:space="preserve">All Sites</t>
  </si>
  <si>
    <t xml:space="preserve">No image optimization or CDN pipeline</t>
  </si>
  <si>
    <t xml:space="preserve">RAW IMAGES</t>
  </si>
  <si>
    <t xml:space="preserve">Add image compression (WebP), responsive sizes, CDN caching</t>
  </si>
  <si>
    <t xml:space="preserve">Feature</t>
  </si>
  <si>
    <t xml:space="preserve">Restaurant cart has no payment processing</t>
  </si>
  <si>
    <t xml:space="preserve">CART ONLY</t>
  </si>
  <si>
    <t xml:space="preserve">Integrate Stripe for food orders OR remove cart feature</t>
  </si>
  <si>
    <t xml:space="preserve">5 days</t>
  </si>
  <si>
    <t xml:space="preserve">Users can add food to cart but can't pay</t>
  </si>
  <si>
    <t xml:space="preserve">No ticket transfer between customers</t>
  </si>
  <si>
    <t xml:space="preserve">Add transfer flow: original buyer initiates, new buyer accepts, QR regenerated</t>
  </si>
  <si>
    <t xml:space="preserve">Testing</t>
  </si>
  <si>
    <t xml:space="preserve">k6 load tests configured but not automated</t>
  </si>
  <si>
    <t xml:space="preserve">Add load tests to CI/CD pipeline on staging deploys</t>
  </si>
  <si>
    <t xml:space="preserve">No batch scan mode for group tickets</t>
  </si>
  <si>
    <t xml:space="preserve">INDIVIDUAL ONLY</t>
  </si>
  <si>
    <t xml:space="preserve">Add 'Scan Group' mode: check in all tickets in an order at once</t>
  </si>
  <si>
    <t xml:space="preserve">Slow for 10-person group</t>
  </si>
  <si>
    <t xml:space="preserve">No real-time capacity tracking in scanner UI</t>
  </si>
  <si>
    <t xml:space="preserve">Show 'X / Y guests inside' with red warning at 90% capacity</t>
  </si>
  <si>
    <t xml:space="preserve">Door staff can't see if venue is full</t>
  </si>
  <si>
    <t xml:space="preserve">CheckInCounter runs 2 separate queries</t>
  </si>
  <si>
    <t xml:space="preserve">PERFORMANCE</t>
  </si>
  <si>
    <t xml:space="preserve">Create single count query or cached RPC function</t>
  </si>
  <si>
    <t xml:space="preserve">P3</t>
  </si>
  <si>
    <t xml:space="preserve">No bilingual support (EN/ES)</t>
  </si>
  <si>
    <t xml:space="preserve">ENGLISH ONLY</t>
  </si>
  <si>
    <t xml:space="preserve">Add i18n framework (react-i18next) with Spanish translations</t>
  </si>
  <si>
    <t xml:space="preserve">Compliance</t>
  </si>
  <si>
    <t xml:space="preserve">No WCAG accessibility audit</t>
  </si>
  <si>
    <t xml:space="preserve">NOT AUDITED</t>
  </si>
  <si>
    <t xml:space="preserve">Run axe-core audit; fix contrast, labels, keyboard nav</t>
  </si>
  <si>
    <t xml:space="preserve">No public API for third parties</t>
  </si>
  <si>
    <t xml:space="preserve">Build REST API with API keys for promoters/partners</t>
  </si>
  <si>
    <t xml:space="preserve">10 days</t>
  </si>
  <si>
    <t xml:space="preserve">No weather-triggered door policies</t>
  </si>
  <si>
    <t xml:space="preserve">Pull weather API; show coat check / VIP parking prompts</t>
  </si>
  <si>
    <t xml:space="preserve">No post-scan upsell workflow</t>
  </si>
  <si>
    <t xml:space="preserve">After green overlay: show quick buttons for table upgrade, bar credit</t>
  </si>
  <si>
    <t xml:space="preserve">Auth Setup</t>
  </si>
  <si>
    <t xml:space="preserve">Scanner Site (Supabase)</t>
  </si>
  <si>
    <t xml:space="preserve">Create owner account in Supabase Auth</t>
  </si>
  <si>
    <t xml:space="preserve">NOT CONFIGURED</t>
  </si>
  <si>
    <t xml:space="preserve">Create user info@magueynightclub.com with password MagueyNightclub123, set user_metadata.role='owner'</t>
  </si>
  <si>
    <t xml:space="preserve">1 hr</t>
  </si>
  <si>
    <t xml:space="preserve">Required for owner dashboard access</t>
  </si>
  <si>
    <t xml:space="preserve">Create employee/scanner account in Supabase Auth</t>
  </si>
  <si>
    <t xml:space="preserve">Create user Luismbadillo13@gmail.com with password MagueyScanner123, set user_metadata.role='employee'</t>
  </si>
  <si>
    <t xml:space="preserve">Required for scanner access; sample credential — switch to real later</t>
  </si>
  <si>
    <t xml:space="preserve">Wire AuthContext to use Supabase credentials</t>
  </si>
  <si>
    <t xml:space="preserve">MOCK/DEMO fallback active</t>
  </si>
  <si>
    <t xml:space="preserve">Update AuthContext to authenticate against Supabase Auth; remove demo button auto-login; validate role from user_metadata</t>
  </si>
  <si>
    <t xml:space="preserve">Login must use real Supabase auth, not localStorage mock</t>
  </si>
  <si>
    <t xml:space="preserve">Credentials</t>
  </si>
  <si>
    <t xml:space="preserve">All Sites (.env)</t>
  </si>
  <si>
    <t xml:space="preserve">Verify all .env files have consistent Supabase credentials</t>
  </si>
  <si>
    <t xml:space="preserve">CONFIGURED but unverified</t>
  </si>
  <si>
    <t xml:space="preserve">Confirm VITE_SUPABASE_URL and VITE_SUPABASE_ANON_KEY match across all 3 sites; verify service role key only on server-side</t>
  </si>
  <si>
    <t xml:space="preserve">Mismatch could cause silent auth failures</t>
  </si>
  <si>
    <t xml:space="preserve">Verify Stripe test keys are functional</t>
  </si>
  <si>
    <t xml:space="preserve">TEST MODE (pk_test_ / sk_test_)</t>
  </si>
  <si>
    <t xml:space="preserve">Run test checkout with current Stripe test keys; confirm webhook secret matches Stripe dashboard</t>
  </si>
  <si>
    <t xml:space="preserve">Keys configured but never end-to-end tested</t>
  </si>
  <si>
    <t xml:space="preserve">Verify Resend email API key is active</t>
  </si>
  <si>
    <t xml:space="preserve">CONFIGURED (re_jH2HNEMf_...)</t>
  </si>
  <si>
    <t xml:space="preserve">Send test email via Resend; confirm tickets@tickets.magueynightclub.com domain is verified</t>
  </si>
  <si>
    <t xml:space="preserve">Email won't deliver if domain not verified in Resend</t>
  </si>
  <si>
    <t xml:space="preserve">Vercel Deployment</t>
  </si>
  <si>
    <t xml:space="preserve">Set all environment variables in Vercel</t>
  </si>
  <si>
    <t xml:space="preserve">Add all env vars (Supabase, Stripe, Resend, QR secret) to Vercel project settings for each site</t>
  </si>
  <si>
    <t xml:space="preserve">Production deploys will fail without env vars</t>
  </si>
  <si>
    <t xml:space="preserve">Connected To</t>
  </si>
  <si>
    <t xml:space="preserve">Data Source</t>
  </si>
  <si>
    <t xml:space="preserve">Revenue metrics (today/week/month/all-time)</t>
  </si>
  <si>
    <t xml:space="preserve">WORKING</t>
  </si>
  <si>
    <t xml:space="preserve">Supabase tickets table</t>
  </si>
  <si>
    <t xml:space="preserve">Real ticket prices</t>
  </si>
  <si>
    <t xml:space="preserve">YES</t>
  </si>
  <si>
    <t xml:space="preserve">All calculated from real data</t>
  </si>
  <si>
    <t xml:space="preserve">Real-time updates via Supabase subscriptions</t>
  </si>
  <si>
    <t xml:space="preserve">tickets, orders, scan_logs</t>
  </si>
  <si>
    <t xml:space="preserve">Postgres Changes</t>
  </si>
  <si>
    <t xml:space="preserve">Auto-refreshes on any change</t>
  </si>
  <si>
    <t xml:space="preserve">Check-in progress per event</t>
  </si>
  <si>
    <t xml:space="preserve">tickets table (scanned_at)</t>
  </si>
  <si>
    <t xml:space="preserve">Real scan data</t>
  </si>
  <si>
    <t xml:space="preserve">X/Y checked in format</t>
  </si>
  <si>
    <t xml:space="preserve">Upcoming events with capacity %</t>
  </si>
  <si>
    <t xml:space="preserve">events + ticket_types</t>
  </si>
  <si>
    <t xml:space="preserve">Real inventory</t>
  </si>
  <si>
    <t xml:space="preserve">Shows sold/capacity ratio</t>
  </si>
  <si>
    <t xml:space="preserve">Email delivery status</t>
  </si>
  <si>
    <t xml:space="preserve">email_queue table</t>
  </si>
  <si>
    <t xml:space="preserve">Real queue data</t>
  </si>
  <si>
    <t xml:space="preserve">Delivered/pending/failed counts</t>
  </si>
  <si>
    <t xml:space="preserve">Scanner device heartbeats</t>
  </si>
  <si>
    <t xml:space="preserve">scanner_heartbeats table</t>
  </si>
  <si>
    <t xml:space="preserve">Real device data</t>
  </si>
  <si>
    <t xml:space="preserve">Online/offline status</t>
  </si>
  <si>
    <t xml:space="preserve">Order management (search/filter/status)</t>
  </si>
  <si>
    <t xml:space="preserve">orders table</t>
  </si>
  <si>
    <t xml:space="preserve">Real order data</t>
  </si>
  <si>
    <t xml:space="preserve">Full CRUD with real-time</t>
  </si>
  <si>
    <t xml:space="preserve">Ticket Purchase</t>
  </si>
  <si>
    <t xml:space="preserve">Stripe Checkout Sessions (GA tickets)</t>
  </si>
  <si>
    <t xml:space="preserve">Stripe API + orders table</t>
  </si>
  <si>
    <t xml:space="preserve">Edge Function</t>
  </si>
  <si>
    <t xml:space="preserve">Server-side pricing, PCI compliant</t>
  </si>
  <si>
    <t xml:space="preserve">VIP table payment intents</t>
  </si>
  <si>
    <t xml:space="preserve">Stripe API + vip_reservations</t>
  </si>
  <si>
    <t xml:space="preserve">Atomic booking + pass generation</t>
  </si>
  <si>
    <t xml:space="preserve">Webhook signature verification</t>
  </si>
  <si>
    <t xml:space="preserve">stripe-webhook Edge Function</t>
  </si>
  <si>
    <t xml:space="preserve">HMAC-SHA256</t>
  </si>
  <si>
    <t xml:space="preserve">Constant-time comparison</t>
  </si>
  <si>
    <t xml:space="preserve">Idempotent webhook processing</t>
  </si>
  <si>
    <t xml:space="preserve">check_webhook_idempotency RPC</t>
  </si>
  <si>
    <t xml:space="preserve">Stripe event ID</t>
  </si>
  <si>
    <t xml:space="preserve">Prevents duplicate orders</t>
  </si>
  <si>
    <t xml:space="preserve">Circuit breaker for Stripe</t>
  </si>
  <si>
    <t xml:space="preserve">circuit-breaker.ts</t>
  </si>
  <si>
    <t xml:space="preserve">Application-level</t>
  </si>
  <si>
    <t xml:space="preserve">5 failures → open, 30s cooldown</t>
  </si>
  <si>
    <t xml:space="preserve">Rate limiting</t>
  </si>
  <si>
    <t xml:space="preserve">orders-service.ts</t>
  </si>
  <si>
    <t xml:space="preserve">Token bucket</t>
  </si>
  <si>
    <t xml:space="preserve">100/min per IP, 50/min per user</t>
  </si>
  <si>
    <t xml:space="preserve">QR code generation with HMAC</t>
  </si>
  <si>
    <t xml:space="preserve">create_order_with_tickets_atomic</t>
  </si>
  <si>
    <t xml:space="preserve">Unique signed token per ticket</t>
  </si>
  <si>
    <t xml:space="preserve">Email confirmation via queue</t>
  </si>
  <si>
    <t xml:space="preserve">email_queue + Resend API</t>
  </si>
  <si>
    <t xml:space="preserve">Server-side</t>
  </si>
  <si>
    <t xml:space="preserve">Non-blocking, retry with backoff</t>
  </si>
  <si>
    <t xml:space="preserve">Atomic inventory management</t>
  </si>
  <si>
    <t xml:space="preserve">check_and_reserve_tickets RPC</t>
  </si>
  <si>
    <t xml:space="preserve">FOR UPDATE locks</t>
  </si>
  <si>
    <t xml:space="preserve">Prevents overselling</t>
  </si>
  <si>
    <t xml:space="preserve">Event sourcing audit trail</t>
  </si>
  <si>
    <t xml:space="preserve">ticket_events table</t>
  </si>
  <si>
    <t xml:space="preserve">Immutable log</t>
  </si>
  <si>
    <t xml:space="preserve">Full ticket lifecycle</t>
  </si>
  <si>
    <t xml:space="preserve">Promo code system</t>
  </si>
  <si>
    <t xml:space="preserve">promo_codes table</t>
  </si>
  <si>
    <t xml:space="preserve">Database-backed</t>
  </si>
  <si>
    <t xml:space="preserve">Validation + discount calculation</t>
  </si>
  <si>
    <t xml:space="preserve">Auth: 2FA + backup codes</t>
  </si>
  <si>
    <t xml:space="preserve">AuthContext.tsx</t>
  </si>
  <si>
    <t xml:space="preserve">Supabase Auth</t>
  </si>
  <si>
    <t xml:space="preserve">TOTP + recovery codes</t>
  </si>
  <si>
    <t xml:space="preserve">QR code scanning (camera)</t>
  </si>
  <si>
    <t xml:space="preserve">html5-qrcode library</t>
  </si>
  <si>
    <t xml:space="preserve">Back camera, 10 FPS</t>
  </si>
  <si>
    <t xml:space="preserve">Mobile + desktop</t>
  </si>
  <si>
    <t xml:space="preserve">HMAC signature verification</t>
  </si>
  <si>
    <t xml:space="preserve">scanner-service.ts</t>
  </si>
  <si>
    <t xml:space="preserve">SHA-256 timing-safe</t>
  </si>
  <si>
    <t xml:space="preserve">Anti-forgery protection</t>
  </si>
  <si>
    <t xml:space="preserve">Offline ticket caching (IndexedDB)</t>
  </si>
  <si>
    <t xml:space="preserve">Dexie.js</t>
  </si>
  <si>
    <t xml:space="preserve">IndexedDB cache</t>
  </si>
  <si>
    <t xml:space="preserve">5-minute TTL, auto-refresh</t>
  </si>
  <si>
    <t xml:space="preserve">Offline scan queue with retry</t>
  </si>
  <si>
    <t xml:space="preserve">offline-queue-service.ts</t>
  </si>
  <si>
    <t xml:space="preserve">Exponential backoff</t>
  </si>
  <si>
    <t xml:space="preserve">1s-60s, max 10 retries</t>
  </si>
  <si>
    <t xml:space="preserve">Success/rejection overlays</t>
  </si>
  <si>
    <t xml:space="preserve">SuccessOverlay + RejectionOverlay</t>
  </si>
  <si>
    <t xml:space="preserve">Full-screen UI</t>
  </si>
  <si>
    <t xml:space="preserve">Green/red with auto/manual dismiss</t>
  </si>
  <si>
    <t xml:space="preserve">Audio + haptic feedback</t>
  </si>
  <si>
    <t xml:space="preserve">Scanner.tsx</t>
  </si>
  <si>
    <t xml:space="preserve">Web Audio API</t>
  </si>
  <si>
    <t xml:space="preserve">Different sounds per result</t>
  </si>
  <si>
    <t xml:space="preserve">Duplicate scan detection</t>
  </si>
  <si>
    <t xml:space="preserve">is_used field check</t>
  </si>
  <si>
    <t xml:space="preserve">Shows previous scan info</t>
  </si>
  <si>
    <t xml:space="preserve">VIP re-entry logic</t>
  </si>
  <si>
    <t xml:space="preserve">checkVipLinkedTicket RPC</t>
  </si>
  <si>
    <t xml:space="preserve">vip_guest_passes</t>
  </si>
  <si>
    <t xml:space="preserve">Gold banner for re-entry</t>
  </si>
  <si>
    <t xml:space="preserve">Manual ticket entry fallback</t>
  </si>
  <si>
    <t xml:space="preserve">ScannerInput component</t>
  </si>
  <si>
    <t xml:space="preserve">Same processScan flow</t>
  </si>
  <si>
    <t xml:space="preserve">For damaged QR codes</t>
  </si>
  <si>
    <t xml:space="preserve">Scan history (localStorage)</t>
  </si>
  <si>
    <t xml:space="preserve">Last 10 scans</t>
  </si>
  <si>
    <t xml:space="preserve">Persistent across reloads</t>
  </si>
  <si>
    <t xml:space="preserve">Check-in counter (real-time)</t>
  </si>
  <si>
    <t xml:space="preserve">CheckInCounter component</t>
  </si>
  <si>
    <t xml:space="preserve">Supabase subscription</t>
  </si>
  <si>
    <t xml:space="preserve">X/Y format with live updates</t>
  </si>
  <si>
    <t xml:space="preserve">VIP System</t>
  </si>
  <si>
    <t xml:space="preserve">Table creation per event (auto 8 tables)</t>
  </si>
  <si>
    <t xml:space="preserve">EventManagement.tsx</t>
  </si>
  <si>
    <t xml:space="preserve">event_vip_tables</t>
  </si>
  <si>
    <t xml:space="preserve">3 tiers: premium/front_row/standard</t>
  </si>
  <si>
    <t xml:space="preserve">Custom pricing per table</t>
  </si>
  <si>
    <t xml:space="preserve">VIPSetupManager.tsx</t>
  </si>
  <si>
    <t xml:space="preserve">Real price editing</t>
  </si>
  <si>
    <t xml:space="preserve">Saves immediately to DB</t>
  </si>
  <si>
    <t xml:space="preserve">Guest pass generation (atomic)</t>
  </si>
  <si>
    <t xml:space="preserve">create_vip_reservation_atomic RPC</t>
  </si>
  <si>
    <t xml:space="preserve">Transaction-safe</t>
  </si>
  <si>
    <t xml:space="preserve">QR tokens per guest</t>
  </si>
  <si>
    <t xml:space="preserve">VIP scanner with offline queue</t>
  </si>
  <si>
    <t xml:space="preserve">VIPScanner.tsx</t>
  </si>
  <si>
    <t xml:space="preserve">Separate queue</t>
  </si>
  <si>
    <t xml:space="preserve">5s auto-sync</t>
  </si>
  <si>
    <t xml:space="preserve">Reservation status tracking</t>
  </si>
  <si>
    <t xml:space="preserve">vip_reservations table</t>
  </si>
  <si>
    <t xml:space="preserve">Real-time sub</t>
  </si>
  <si>
    <t xml:space="preserve">pending→confirmed→checked_in</t>
  </si>
  <si>
    <t xml:space="preserve">Linked GA ticket check-in</t>
  </si>
  <si>
    <t xml:space="preserve">vip_linked_tickets table</t>
  </si>
  <si>
    <t xml:space="preserve">Cross-table join</t>
  </si>
  <si>
    <t xml:space="preserve">Syncs GA ticket status on VIP check-in</t>
  </si>
  <si>
    <t xml:space="preserve">Manual payment confirmation</t>
  </si>
  <si>
    <t xml:space="preserve">confirmPaymentManually()</t>
  </si>
  <si>
    <t xml:space="preserve">Cash/card at door</t>
  </si>
  <si>
    <t xml:space="preserve">Generates passes after payment</t>
  </si>
  <si>
    <t xml:space="preserve">Event Creation</t>
  </si>
  <si>
    <t xml:space="preserve">Full event CRUD with validation</t>
  </si>
  <si>
    <t xml:space="preserve">events table</t>
  </si>
  <si>
    <t xml:space="preserve">Name, date, time, venue, description</t>
  </si>
  <si>
    <t xml:space="preserve">Image upload to Supabase Storage</t>
  </si>
  <si>
    <t xml:space="preserve">event-image-service.ts</t>
  </si>
  <si>
    <t xml:space="preserve">event-images bucket</t>
  </si>
  <si>
    <t xml:space="preserve">JPG/PNG/WebP/GIF, 5MB max</t>
  </si>
  <si>
    <t xml:space="preserve">Ticket type configuration</t>
  </si>
  <si>
    <t xml:space="preserve">ticket_types table</t>
  </si>
  <si>
    <t xml:space="preserve">Per-event types</t>
  </si>
  <si>
    <t xml:space="preserve">Name, price, capacity per type</t>
  </si>
  <si>
    <t xml:space="preserve">Event sync to purchase site</t>
  </si>
  <si>
    <t xml:space="preserve">syncEvent() call</t>
  </si>
  <si>
    <t xml:space="preserve">Cross-site sync</t>
  </si>
  <si>
    <t xml:space="preserve">Non-blocking sync on save</t>
  </si>
  <si>
    <t xml:space="preserve">Duplicate event detection</t>
  </si>
  <si>
    <t xml:space="preserve">handleSave validation</t>
  </si>
  <si>
    <t xml:space="preserve">Same name+date check</t>
  </si>
  <si>
    <t xml:space="preserve">Prevents accidental duplicates</t>
  </si>
  <si>
    <t xml:space="preserve">Delete protection (ticket check)</t>
  </si>
  <si>
    <t xml:space="preserve">handleDelete validation</t>
  </si>
  <si>
    <t xml:space="preserve">Checks for sold tickets</t>
  </si>
  <si>
    <t xml:space="preserve">Can't delete events with tickets</t>
  </si>
  <si>
    <t xml:space="preserve">Draft/published/archived status</t>
  </si>
  <si>
    <t xml:space="preserve">status field</t>
  </si>
  <si>
    <t xml:space="preserve">State management</t>
  </si>
  <si>
    <t xml:space="preserve">published_at timestamp on publish</t>
  </si>
  <si>
    <t xml:space="preserve">Homepage with video hero + parallax</t>
  </si>
  <si>
    <t xml:space="preserve">Framer Motion</t>
  </si>
  <si>
    <t xml:space="preserve">Client-side</t>
  </si>
  <si>
    <t xml:space="preserve">Smooth animations</t>
  </si>
  <si>
    <t xml:space="preserve">Event listing from Supabase</t>
  </si>
  <si>
    <t xml:space="preserve">Real-time subscription</t>
  </si>
  <si>
    <t xml:space="preserve">Auto-updates on changes</t>
  </si>
  <si>
    <t xml:space="preserve">Restaurant menu + cart</t>
  </si>
  <si>
    <t xml:space="preserve">Local state</t>
  </si>
  <si>
    <t xml:space="preserve">Static menu data</t>
  </si>
  <si>
    <t xml:space="preserve">Cart works, but no payment</t>
  </si>
  <si>
    <t xml:space="preserve">Security headers (CSP, HSTS)</t>
  </si>
  <si>
    <t xml:space="preserve">vercel.json</t>
  </si>
  <si>
    <t xml:space="preserve">All 3 sites</t>
  </si>
  <si>
    <t xml:space="preserve">Comprehensive headers</t>
  </si>
  <si>
    <t xml:space="preserve">Feature / Component</t>
  </si>
  <si>
    <t xml:space="preserve">Why It Might Be Too Much</t>
  </si>
  <si>
    <t xml:space="preserve">Recommendation</t>
  </si>
  <si>
    <t xml:space="preserve">Action</t>
  </si>
  <si>
    <t xml:space="preserve">Monitoring: Circuit Breakers page</t>
  </si>
  <si>
    <t xml:space="preserve">Nightclub owner doesn't need to see circuit breaker state diagrams</t>
  </si>
  <si>
    <t xml:space="preserve">Remove from sidebar; keep in code for devs only</t>
  </si>
  <si>
    <t xml:space="preserve">REMOVE from UI</t>
  </si>
  <si>
    <t xml:space="preserve">Monitoring: Rate Limits page</t>
  </si>
  <si>
    <t xml:space="preserve">Owner doesn't need to see rate limit counters</t>
  </si>
  <si>
    <t xml:space="preserve">Remove from sidebar; keep backend logic</t>
  </si>
  <si>
    <t xml:space="preserve">Monitoring: Query Performance page</t>
  </si>
  <si>
    <t xml:space="preserve">Database query profiling is a developer tool</t>
  </si>
  <si>
    <t xml:space="preserve">Remove from owner-facing UI</t>
  </si>
  <si>
    <t xml:space="preserve">Monitoring: Traces page</t>
  </si>
  <si>
    <t xml:space="preserve">Distributed tracing spans are developer-only</t>
  </si>
  <si>
    <t xml:space="preserve">Monitoring: Errors page</t>
  </si>
  <si>
    <t xml:space="preserve">Error stack traces are for developers</t>
  </si>
  <si>
    <t xml:space="preserve">Replace with simple 'System Health' indicator (green/yellow/red)</t>
  </si>
  <si>
    <t xml:space="preserve">SIMPLIFY</t>
  </si>
  <si>
    <t xml:space="preserve">Monitoring: Metrics page</t>
  </si>
  <si>
    <t xml:space="preserve">Raw application metrics too technical for nightclub</t>
  </si>
  <si>
    <t xml:space="preserve">Replace with simple KPI dashboard card</t>
  </si>
  <si>
    <t xml:space="preserve">Fraud Investigation page</t>
  </si>
  <si>
    <t xml:space="preserve">Too complex; owner needs alerts, not investigation tools</t>
  </si>
  <si>
    <t xml:space="preserve">Simplify to 'Security Alerts' with auto-block recommendations</t>
  </si>
  <si>
    <t xml:space="preserve">Queue Management + Predictions</t>
  </si>
  <si>
    <t xml:space="preserve">Queue prediction algorithms overkill for single-venue</t>
  </si>
  <si>
    <t xml:space="preserve">Remove unless venue has 500+ capacity with actual queue issues</t>
  </si>
  <si>
    <t xml:space="preserve">KEEP if needed</t>
  </si>
  <si>
    <t xml:space="preserve">Staff Scheduling page</t>
  </si>
  <si>
    <t xml:space="preserve">Most nightclubs use GroupMe or paper schedules</t>
  </si>
  <si>
    <t xml:space="preserve">Keep only if owner actually uses it; otherwise remove</t>
  </si>
  <si>
    <t xml:space="preserve">ASSESS</t>
  </si>
  <si>
    <t xml:space="preserve">Customer Management page</t>
  </si>
  <si>
    <t xml:space="preserve">CRM is overkill for nightclub; owners track VIPs mentally</t>
  </si>
  <si>
    <t xml:space="preserve">Simplify to 'VIP Guest List' instead of full CRM</t>
  </si>
  <si>
    <t xml:space="preserve">Device Management page</t>
  </si>
  <si>
    <t xml:space="preserve">Most venues use 1-2 scanner devices</t>
  </si>
  <si>
    <t xml:space="preserve">Keep if 3+ scanners; otherwise remove and auto-detect</t>
  </si>
  <si>
    <t xml:space="preserve">Notification Rules page</t>
  </si>
  <si>
    <t xml:space="preserve">Complex rule builder; owner wants simple on/off toggles</t>
  </si>
  <si>
    <t xml:space="preserve">Replace with simple notification preferences</t>
  </si>
  <si>
    <t xml:space="preserve">Advanced Analytics - 6 tabs</t>
  </si>
  <si>
    <t xml:space="preserve">Too many views; owner wants 3 numbers: money, attendance, performance</t>
  </si>
  <si>
    <t xml:space="preserve">Consolidate to single page with 3 sections</t>
  </si>
  <si>
    <t xml:space="preserve">NFC scanning mode</t>
  </si>
  <si>
    <t xml:space="preserve">Very few tickets use NFC tags in nightclub context</t>
  </si>
  <si>
    <t xml:space="preserve">Keep as hidden option; don't show in main nav unless NFC detected</t>
  </si>
  <si>
    <t xml:space="preserve">HIDE</t>
  </si>
  <si>
    <t xml:space="preserve">ID Verification modal + photo capture</t>
  </si>
  <si>
    <t xml:space="preserve">Useful but complex; most nightclubs check IDs manually</t>
  </si>
  <si>
    <t xml:space="preserve">Keep for 21+ events; hide for general events</t>
  </si>
  <si>
    <t xml:space="preserve">CONDITIONAL</t>
  </si>
  <si>
    <t xml:space="preserve">Emergency Override system</t>
  </si>
  <si>
    <t xml:space="preserve">Good safety feature but complex 4-digit PIN flow</t>
  </si>
  <si>
    <t xml:space="preserve">Keep but simplify: single 'Override' button with owner fingerprint/face</t>
  </si>
  <si>
    <t xml:space="preserve">Floor Plan visual editor</t>
  </si>
  <si>
    <t xml:space="preserve">Static layout with no drag-drop; adds complexity without value</t>
  </si>
  <si>
    <t xml:space="preserve">Either add real drag-drop or replace with simple numbered table list</t>
  </si>
  <si>
    <t xml:space="preserve">FIX or REMOVE</t>
  </si>
  <si>
    <t xml:space="preserve">Scan Speed Analytics</t>
  </si>
  <si>
    <t xml:space="preserve">Scans per minute tracking is overengineered</t>
  </si>
  <si>
    <t xml:space="preserve">Remove from UI; keep for backend diagnostics</t>
  </si>
  <si>
    <t xml:space="preserve">Battery Monitoring component</t>
  </si>
  <si>
    <t xml:space="preserve">Tracks scanner device battery in real-time</t>
  </si>
  <si>
    <t xml:space="preserve">Useful but could be a simple icon, not a dashboard section</t>
  </si>
  <si>
    <t xml:space="preserve">50+ markdown docs in project root</t>
  </si>
  <si>
    <t xml:space="preserve">Documentation sprawl across 80+ .md files</t>
  </si>
  <si>
    <t xml:space="preserve">Consolidate into single docs/ folder with max 10 focused documents</t>
  </si>
  <si>
    <t xml:space="preserve">CONSOLIDATE</t>
  </si>
  <si>
    <t xml:space="preserve">MAGUEY NIGHTCLUB LIVE - GSD SUMMARY</t>
  </si>
  <si>
    <t xml:space="preserve">Overall Score</t>
  </si>
  <si>
    <t xml:space="preserve">B+ (78-82%)</t>
  </si>
  <si>
    <t xml:space="preserve">Near production-ready</t>
  </si>
  <si>
    <t xml:space="preserve">Total Issues Tracked</t>
  </si>
  <si>
    <t xml:space="preserve">P0 Blockers</t>
  </si>
  <si>
    <t xml:space="preserve">Must fix before launch</t>
  </si>
  <si>
    <t xml:space="preserve">P1 High Priority</t>
  </si>
  <si>
    <t xml:space="preserve">Fix within 2 weeks</t>
  </si>
  <si>
    <t xml:space="preserve">P2 Medium</t>
  </si>
  <si>
    <t xml:space="preserve">Fix within 1 month</t>
  </si>
  <si>
    <t xml:space="preserve">P3 Nice to Have</t>
  </si>
  <si>
    <t xml:space="preserve">Post-launch</t>
  </si>
  <si>
    <t xml:space="preserve">Not Started</t>
  </si>
  <si>
    <t xml:space="preserve">In Progress</t>
  </si>
  <si>
    <t xml:space="preserve">Done</t>
  </si>
  <si>
    <t xml:space="preserve">Verified</t>
  </si>
  <si>
    <t xml:space="preserve">Implementation verified</t>
  </si>
  <si>
    <t xml:space="preserve">Verified Working Features</t>
  </si>
  <si>
    <t xml:space="preserve">48</t>
  </si>
  <si>
    <t xml:space="preserve">See 'What Works' sheet</t>
  </si>
  <si>
    <t xml:space="preserve">Potential Bloat Items</t>
  </si>
  <si>
    <t xml:space="preserve">20</t>
  </si>
  <si>
    <t xml:space="preserve">See 'Potential Bloat' sheet</t>
  </si>
  <si>
    <t xml:space="preserve">AREAS BREAKDOWN</t>
  </si>
  <si>
    <t xml:space="preserve">Auth Issues</t>
  </si>
  <si>
    <t xml:space="preserve">Security Issues</t>
  </si>
  <si>
    <t xml:space="preserve">Scanner Issues</t>
  </si>
  <si>
    <t xml:space="preserve">Dashboard Issues</t>
  </si>
  <si>
    <t xml:space="preserve">VIP Issues</t>
  </si>
  <si>
    <t xml:space="preserve">Code Quality Issues</t>
  </si>
  <si>
    <t xml:space="preserve">Credentials Issues</t>
  </si>
  <si>
    <t xml:space="preserve">Auth Setup Issues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</si>
</sst>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E53935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FF8F0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sz val="11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EBEE"/>
        <bgColor rgb="FFF5F5F5"/>
      </patternFill>
    </fill>
    <fill>
      <patternFill patternType="solid">
        <fgColor rgb="FFFFF8E1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539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F00"/>
      <rgbColor rgb="FFE53935"/>
      <rgbColor rgb="FF666666"/>
      <rgbColor rgb="FF969696"/>
      <rgbColor rgb="FF003366"/>
      <rgbColor rgb="FF39B54A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N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45"/>
    <col collapsed="false" customWidth="true" hidden="false" outlineLevel="0" max="6" min="6" style="1" width="18"/>
    <col collapsed="false" customWidth="true" hidden="false" outlineLevel="0" max="7" min="7" style="1" width="45"/>
    <col collapsed="false" customWidth="true" hidden="false" outlineLevel="0" max="8" min="8" style="1" width="16"/>
    <col collapsed="false" customWidth="true" hidden="false" outlineLevel="0" max="10" min="9" style="1" width="10"/>
    <col collapsed="false" customWidth="true" hidden="false" outlineLevel="0" max="12" min="11" style="1" width="12"/>
    <col collapsed="false" customWidth="true" hidden="false" outlineLevel="0" max="13" min="13" style="1" width="10"/>
    <col collapsed="false" customWidth="true" hidden="false" outlineLevel="0" max="14" min="14" style="1" width="35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23.25" hidden="false" customHeight="true" outlineLevel="0" collapsed="false">
      <c r="A2" s="3" t="n">
        <v>1</v>
      </c>
      <c r="B2" s="4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5" t="s">
        <v>20</v>
      </c>
      <c r="I2" s="3" t="s">
        <v>21</v>
      </c>
      <c r="J2" s="3" t="s">
        <v>22</v>
      </c>
      <c r="K2" s="3"/>
      <c r="L2" s="3"/>
      <c r="M2" s="3" t="s">
        <v>23</v>
      </c>
      <c r="N2" s="3" t="s">
        <v>24</v>
      </c>
    </row>
    <row r="3" customFormat="false" ht="23.25" hidden="false" customHeight="true" outlineLevel="0" collapsed="false">
      <c r="A3" s="3" t="n">
        <v>2</v>
      </c>
      <c r="B3" s="4" t="s">
        <v>14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5" t="s">
        <v>20</v>
      </c>
      <c r="I3" s="3" t="s">
        <v>21</v>
      </c>
      <c r="J3" s="3" t="s">
        <v>22</v>
      </c>
      <c r="K3" s="3"/>
      <c r="L3" s="3"/>
      <c r="M3" s="3" t="s">
        <v>23</v>
      </c>
      <c r="N3" s="3" t="s">
        <v>30</v>
      </c>
    </row>
    <row r="4" customFormat="false" ht="23.25" hidden="false" customHeight="true" outlineLevel="0" collapsed="false">
      <c r="A4" s="3" t="n">
        <v>3</v>
      </c>
      <c r="B4" s="4" t="s">
        <v>14</v>
      </c>
      <c r="C4" s="3" t="s">
        <v>15</v>
      </c>
      <c r="D4" s="3" t="s">
        <v>31</v>
      </c>
      <c r="E4" s="3" t="s">
        <v>32</v>
      </c>
      <c r="F4" s="3" t="s">
        <v>33</v>
      </c>
      <c r="G4" s="3" t="s">
        <v>34</v>
      </c>
      <c r="H4" s="5" t="s">
        <v>20</v>
      </c>
      <c r="I4" s="3" t="s">
        <v>21</v>
      </c>
      <c r="J4" s="3" t="s">
        <v>22</v>
      </c>
      <c r="K4" s="3"/>
      <c r="L4" s="3"/>
      <c r="M4" s="3" t="s">
        <v>23</v>
      </c>
      <c r="N4" s="3" t="s">
        <v>35</v>
      </c>
    </row>
    <row r="5" customFormat="false" ht="23.25" hidden="false" customHeight="true" outlineLevel="0" collapsed="false">
      <c r="A5" s="3" t="n">
        <v>4</v>
      </c>
      <c r="B5" s="4" t="s">
        <v>14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5" t="s">
        <v>20</v>
      </c>
      <c r="I5" s="3" t="s">
        <v>21</v>
      </c>
      <c r="J5" s="3" t="s">
        <v>41</v>
      </c>
      <c r="K5" s="3"/>
      <c r="L5" s="3"/>
      <c r="M5" s="3" t="s">
        <v>23</v>
      </c>
      <c r="N5" s="3" t="s">
        <v>42</v>
      </c>
    </row>
    <row r="6" customFormat="false" ht="23.25" hidden="false" customHeight="true" outlineLevel="0" collapsed="false">
      <c r="A6" s="3" t="n">
        <v>5</v>
      </c>
      <c r="B6" s="4" t="s">
        <v>14</v>
      </c>
      <c r="C6" s="3" t="s">
        <v>15</v>
      </c>
      <c r="D6" s="3" t="s">
        <v>43</v>
      </c>
      <c r="E6" s="3" t="s">
        <v>44</v>
      </c>
      <c r="F6" s="3" t="s">
        <v>45</v>
      </c>
      <c r="G6" s="3" t="s">
        <v>46</v>
      </c>
      <c r="H6" s="5" t="s">
        <v>20</v>
      </c>
      <c r="I6" s="3" t="s">
        <v>21</v>
      </c>
      <c r="J6" s="3" t="s">
        <v>41</v>
      </c>
      <c r="K6" s="3"/>
      <c r="L6" s="3"/>
      <c r="M6" s="3" t="s">
        <v>23</v>
      </c>
      <c r="N6" s="3" t="s">
        <v>47</v>
      </c>
    </row>
    <row r="7" customFormat="false" ht="23.25" hidden="false" customHeight="true" outlineLevel="0" collapsed="false">
      <c r="A7" s="3" t="n">
        <v>6</v>
      </c>
      <c r="B7" s="4" t="s">
        <v>14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5" t="s">
        <v>20</v>
      </c>
      <c r="I7" s="3" t="s">
        <v>53</v>
      </c>
      <c r="J7" s="3" t="s">
        <v>22</v>
      </c>
      <c r="K7" s="3"/>
      <c r="L7" s="3"/>
      <c r="M7" s="3" t="s">
        <v>23</v>
      </c>
      <c r="N7" s="3" t="s">
        <v>54</v>
      </c>
    </row>
    <row r="8" customFormat="false" ht="34.5" hidden="false" customHeight="true" outlineLevel="0" collapsed="false">
      <c r="A8" s="3" t="n">
        <v>7</v>
      </c>
      <c r="B8" s="4" t="s">
        <v>14</v>
      </c>
      <c r="C8" s="3" t="s">
        <v>48</v>
      </c>
      <c r="D8" s="3" t="s">
        <v>49</v>
      </c>
      <c r="E8" s="3" t="s">
        <v>55</v>
      </c>
      <c r="F8" s="3" t="s">
        <v>56</v>
      </c>
      <c r="G8" s="3" t="s">
        <v>57</v>
      </c>
      <c r="H8" s="5" t="s">
        <v>20</v>
      </c>
      <c r="I8" s="3" t="s">
        <v>58</v>
      </c>
      <c r="J8" s="3" t="s">
        <v>22</v>
      </c>
      <c r="K8" s="3"/>
      <c r="L8" s="3"/>
      <c r="M8" s="3" t="s">
        <v>23</v>
      </c>
      <c r="N8" s="3" t="s">
        <v>59</v>
      </c>
    </row>
    <row r="9" customFormat="false" ht="23.25" hidden="false" customHeight="true" outlineLevel="0" collapsed="false">
      <c r="A9" s="3" t="n">
        <v>8</v>
      </c>
      <c r="B9" s="4" t="s">
        <v>14</v>
      </c>
      <c r="C9" s="3" t="s">
        <v>48</v>
      </c>
      <c r="D9" s="3" t="s">
        <v>49</v>
      </c>
      <c r="E9" s="3" t="s">
        <v>60</v>
      </c>
      <c r="F9" s="3" t="s">
        <v>61</v>
      </c>
      <c r="G9" s="3" t="s">
        <v>62</v>
      </c>
      <c r="H9" s="5" t="s">
        <v>20</v>
      </c>
      <c r="I9" s="3" t="s">
        <v>21</v>
      </c>
      <c r="J9" s="3" t="s">
        <v>41</v>
      </c>
      <c r="K9" s="3"/>
      <c r="L9" s="3"/>
      <c r="M9" s="3" t="s">
        <v>23</v>
      </c>
      <c r="N9" s="3" t="s">
        <v>63</v>
      </c>
    </row>
    <row r="10" customFormat="false" ht="34.5" hidden="false" customHeight="true" outlineLevel="0" collapsed="false">
      <c r="A10" s="3" t="n">
        <v>9</v>
      </c>
      <c r="B10" s="4" t="s">
        <v>14</v>
      </c>
      <c r="C10" s="3" t="s">
        <v>48</v>
      </c>
      <c r="D10" s="3" t="s">
        <v>49</v>
      </c>
      <c r="E10" s="3" t="s">
        <v>64</v>
      </c>
      <c r="F10" s="3" t="s">
        <v>65</v>
      </c>
      <c r="G10" s="3" t="s">
        <v>66</v>
      </c>
      <c r="H10" s="5" t="s">
        <v>20</v>
      </c>
      <c r="I10" s="3" t="s">
        <v>21</v>
      </c>
      <c r="J10" s="3" t="s">
        <v>41</v>
      </c>
      <c r="K10" s="3"/>
      <c r="L10" s="3"/>
      <c r="M10" s="3" t="s">
        <v>23</v>
      </c>
      <c r="N10" s="3" t="s">
        <v>67</v>
      </c>
    </row>
    <row r="11" customFormat="false" ht="23.25" hidden="false" customHeight="true" outlineLevel="0" collapsed="false">
      <c r="A11" s="3" t="n">
        <v>10</v>
      </c>
      <c r="B11" s="6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5" t="s">
        <v>20</v>
      </c>
      <c r="I11" s="3" t="s">
        <v>21</v>
      </c>
      <c r="J11" s="3" t="s">
        <v>74</v>
      </c>
      <c r="K11" s="3"/>
      <c r="L11" s="3"/>
      <c r="M11" s="3" t="s">
        <v>23</v>
      </c>
      <c r="N11" s="3" t="s">
        <v>75</v>
      </c>
    </row>
    <row r="12" customFormat="false" ht="23.25" hidden="false" customHeight="true" outlineLevel="0" collapsed="false">
      <c r="A12" s="3" t="n">
        <v>11</v>
      </c>
      <c r="B12" s="6" t="s">
        <v>68</v>
      </c>
      <c r="C12" s="3" t="s">
        <v>69</v>
      </c>
      <c r="D12" s="3" t="s">
        <v>70</v>
      </c>
      <c r="E12" s="3" t="s">
        <v>76</v>
      </c>
      <c r="F12" s="3" t="s">
        <v>77</v>
      </c>
      <c r="G12" s="3" t="s">
        <v>78</v>
      </c>
      <c r="H12" s="5" t="s">
        <v>20</v>
      </c>
      <c r="I12" s="3" t="s">
        <v>21</v>
      </c>
      <c r="J12" s="3" t="s">
        <v>74</v>
      </c>
      <c r="K12" s="3"/>
      <c r="L12" s="3"/>
      <c r="M12" s="3" t="s">
        <v>23</v>
      </c>
      <c r="N12" s="3" t="s">
        <v>79</v>
      </c>
    </row>
    <row r="13" customFormat="false" ht="23.25" hidden="false" customHeight="true" outlineLevel="0" collapsed="false">
      <c r="A13" s="3" t="n">
        <v>12</v>
      </c>
      <c r="B13" s="6" t="s">
        <v>68</v>
      </c>
      <c r="C13" s="3" t="s">
        <v>69</v>
      </c>
      <c r="D13" s="3" t="s">
        <v>70</v>
      </c>
      <c r="E13" s="3" t="s">
        <v>80</v>
      </c>
      <c r="F13" s="3" t="s">
        <v>77</v>
      </c>
      <c r="G13" s="3" t="s">
        <v>81</v>
      </c>
      <c r="H13" s="5" t="s">
        <v>20</v>
      </c>
      <c r="I13" s="3" t="s">
        <v>21</v>
      </c>
      <c r="J13" s="3" t="s">
        <v>74</v>
      </c>
      <c r="K13" s="3"/>
      <c r="L13" s="3"/>
      <c r="M13" s="3" t="s">
        <v>23</v>
      </c>
      <c r="N13" s="3" t="s">
        <v>82</v>
      </c>
    </row>
    <row r="14" customFormat="false" ht="23.25" hidden="false" customHeight="true" outlineLevel="0" collapsed="false">
      <c r="A14" s="3" t="n">
        <v>13</v>
      </c>
      <c r="B14" s="6" t="s">
        <v>68</v>
      </c>
      <c r="C14" s="3" t="s">
        <v>69</v>
      </c>
      <c r="D14" s="3" t="s">
        <v>70</v>
      </c>
      <c r="E14" s="3" t="s">
        <v>83</v>
      </c>
      <c r="F14" s="3" t="s">
        <v>84</v>
      </c>
      <c r="G14" s="3" t="s">
        <v>85</v>
      </c>
      <c r="H14" s="5" t="s">
        <v>20</v>
      </c>
      <c r="I14" s="3" t="s">
        <v>21</v>
      </c>
      <c r="J14" s="3" t="s">
        <v>74</v>
      </c>
      <c r="K14" s="3"/>
      <c r="L14" s="3"/>
      <c r="M14" s="3" t="s">
        <v>23</v>
      </c>
      <c r="N14" s="3" t="s">
        <v>86</v>
      </c>
    </row>
    <row r="15" customFormat="false" ht="23.25" hidden="false" customHeight="true" outlineLevel="0" collapsed="false">
      <c r="A15" s="3" t="n">
        <v>14</v>
      </c>
      <c r="B15" s="6" t="s">
        <v>68</v>
      </c>
      <c r="C15" s="3" t="s">
        <v>69</v>
      </c>
      <c r="D15" s="3" t="s">
        <v>70</v>
      </c>
      <c r="E15" s="3" t="s">
        <v>87</v>
      </c>
      <c r="F15" s="3" t="s">
        <v>88</v>
      </c>
      <c r="G15" s="3" t="s">
        <v>89</v>
      </c>
      <c r="H15" s="5" t="s">
        <v>20</v>
      </c>
      <c r="I15" s="3" t="s">
        <v>53</v>
      </c>
      <c r="J15" s="3" t="s">
        <v>74</v>
      </c>
      <c r="K15" s="3"/>
      <c r="L15" s="3"/>
      <c r="M15" s="3" t="s">
        <v>23</v>
      </c>
      <c r="N15" s="3" t="s">
        <v>90</v>
      </c>
    </row>
    <row r="16" customFormat="false" ht="23.25" hidden="false" customHeight="true" outlineLevel="0" collapsed="false">
      <c r="A16" s="3" t="n">
        <v>15</v>
      </c>
      <c r="B16" s="6" t="s">
        <v>68</v>
      </c>
      <c r="C16" s="3" t="s">
        <v>69</v>
      </c>
      <c r="D16" s="3" t="s">
        <v>91</v>
      </c>
      <c r="E16" s="3" t="s">
        <v>92</v>
      </c>
      <c r="F16" s="3" t="s">
        <v>93</v>
      </c>
      <c r="G16" s="3" t="s">
        <v>94</v>
      </c>
      <c r="H16" s="5" t="s">
        <v>20</v>
      </c>
      <c r="I16" s="3" t="s">
        <v>53</v>
      </c>
      <c r="J16" s="3" t="s">
        <v>74</v>
      </c>
      <c r="K16" s="3"/>
      <c r="L16" s="3"/>
      <c r="M16" s="3" t="s">
        <v>23</v>
      </c>
      <c r="N16" s="3" t="s">
        <v>95</v>
      </c>
    </row>
    <row r="17" customFormat="false" ht="23.25" hidden="false" customHeight="true" outlineLevel="0" collapsed="false">
      <c r="A17" s="3" t="n">
        <v>16</v>
      </c>
      <c r="B17" s="6" t="s">
        <v>68</v>
      </c>
      <c r="C17" s="3" t="s">
        <v>96</v>
      </c>
      <c r="D17" s="3" t="s">
        <v>97</v>
      </c>
      <c r="E17" s="3" t="s">
        <v>98</v>
      </c>
      <c r="F17" s="3" t="s">
        <v>99</v>
      </c>
      <c r="G17" s="3" t="s">
        <v>100</v>
      </c>
      <c r="H17" s="5" t="s">
        <v>20</v>
      </c>
      <c r="I17" s="3" t="s">
        <v>53</v>
      </c>
      <c r="J17" s="3" t="s">
        <v>41</v>
      </c>
      <c r="K17" s="3"/>
      <c r="L17" s="3"/>
      <c r="M17" s="3" t="s">
        <v>23</v>
      </c>
      <c r="N17" s="3" t="s">
        <v>101</v>
      </c>
    </row>
    <row r="18" customFormat="false" ht="15" hidden="false" customHeight="true" outlineLevel="0" collapsed="false">
      <c r="A18" s="3" t="n">
        <v>17</v>
      </c>
      <c r="B18" s="6" t="s">
        <v>68</v>
      </c>
      <c r="C18" s="3" t="s">
        <v>96</v>
      </c>
      <c r="D18" s="3" t="s">
        <v>97</v>
      </c>
      <c r="E18" s="3" t="s">
        <v>102</v>
      </c>
      <c r="F18" s="3" t="s">
        <v>103</v>
      </c>
      <c r="G18" s="3" t="s">
        <v>104</v>
      </c>
      <c r="H18" s="5" t="s">
        <v>20</v>
      </c>
      <c r="I18" s="3" t="s">
        <v>21</v>
      </c>
      <c r="J18" s="3" t="s">
        <v>74</v>
      </c>
      <c r="K18" s="3"/>
      <c r="L18" s="3"/>
      <c r="M18" s="3" t="s">
        <v>23</v>
      </c>
      <c r="N18" s="3" t="s">
        <v>105</v>
      </c>
    </row>
    <row r="19" customFormat="false" ht="23.25" hidden="false" customHeight="true" outlineLevel="0" collapsed="false">
      <c r="A19" s="3" t="n">
        <v>18</v>
      </c>
      <c r="B19" s="6" t="s">
        <v>68</v>
      </c>
      <c r="C19" s="3" t="s">
        <v>96</v>
      </c>
      <c r="D19" s="3" t="s">
        <v>97</v>
      </c>
      <c r="E19" s="3" t="s">
        <v>106</v>
      </c>
      <c r="F19" s="3" t="s">
        <v>107</v>
      </c>
      <c r="G19" s="3" t="s">
        <v>108</v>
      </c>
      <c r="H19" s="5" t="s">
        <v>20</v>
      </c>
      <c r="I19" s="3" t="s">
        <v>21</v>
      </c>
      <c r="J19" s="3" t="s">
        <v>41</v>
      </c>
      <c r="K19" s="3"/>
      <c r="L19" s="3"/>
      <c r="M19" s="3" t="s">
        <v>23</v>
      </c>
      <c r="N19" s="3" t="s">
        <v>109</v>
      </c>
    </row>
    <row r="20" customFormat="false" ht="23.25" hidden="false" customHeight="true" outlineLevel="0" collapsed="false">
      <c r="A20" s="3" t="n">
        <v>19</v>
      </c>
      <c r="B20" s="6" t="s">
        <v>68</v>
      </c>
      <c r="C20" s="3" t="s">
        <v>96</v>
      </c>
      <c r="D20" s="3" t="s">
        <v>97</v>
      </c>
      <c r="E20" s="3" t="s">
        <v>110</v>
      </c>
      <c r="F20" s="3" t="s">
        <v>111</v>
      </c>
      <c r="G20" s="3" t="s">
        <v>112</v>
      </c>
      <c r="H20" s="5" t="s">
        <v>20</v>
      </c>
      <c r="I20" s="3" t="s">
        <v>21</v>
      </c>
      <c r="J20" s="3" t="s">
        <v>41</v>
      </c>
      <c r="K20" s="3"/>
      <c r="L20" s="3"/>
      <c r="M20" s="3" t="s">
        <v>23</v>
      </c>
      <c r="N20" s="3" t="s">
        <v>113</v>
      </c>
    </row>
    <row r="21" customFormat="false" ht="23.25" hidden="false" customHeight="true" outlineLevel="0" collapsed="false">
      <c r="A21" s="3" t="n">
        <v>20</v>
      </c>
      <c r="B21" s="6" t="s">
        <v>68</v>
      </c>
      <c r="C21" s="3" t="s">
        <v>96</v>
      </c>
      <c r="D21" s="3" t="s">
        <v>97</v>
      </c>
      <c r="E21" s="3" t="s">
        <v>114</v>
      </c>
      <c r="F21" s="3" t="s">
        <v>115</v>
      </c>
      <c r="G21" s="3" t="s">
        <v>116</v>
      </c>
      <c r="H21" s="5" t="s">
        <v>20</v>
      </c>
      <c r="I21" s="3" t="s">
        <v>21</v>
      </c>
      <c r="J21" s="3" t="s">
        <v>41</v>
      </c>
      <c r="K21" s="3"/>
      <c r="L21" s="3"/>
      <c r="M21" s="3" t="s">
        <v>23</v>
      </c>
      <c r="N21" s="3" t="s">
        <v>117</v>
      </c>
    </row>
    <row r="22" customFormat="false" ht="15" hidden="false" customHeight="true" outlineLevel="0" collapsed="false">
      <c r="A22" s="3" t="n">
        <v>21</v>
      </c>
      <c r="B22" s="6" t="s">
        <v>68</v>
      </c>
      <c r="C22" s="3" t="s">
        <v>96</v>
      </c>
      <c r="D22" s="3" t="s">
        <v>97</v>
      </c>
      <c r="E22" s="3" t="s">
        <v>118</v>
      </c>
      <c r="F22" s="3" t="s">
        <v>119</v>
      </c>
      <c r="G22" s="3" t="s">
        <v>120</v>
      </c>
      <c r="H22" s="5" t="s">
        <v>20</v>
      </c>
      <c r="I22" s="3" t="s">
        <v>21</v>
      </c>
      <c r="J22" s="3" t="s">
        <v>74</v>
      </c>
      <c r="K22" s="3"/>
      <c r="L22" s="3"/>
      <c r="M22" s="3" t="s">
        <v>23</v>
      </c>
      <c r="N22" s="3" t="s">
        <v>121</v>
      </c>
    </row>
    <row r="23" customFormat="false" ht="23.25" hidden="false" customHeight="true" outlineLevel="0" collapsed="false">
      <c r="A23" s="3" t="n">
        <v>22</v>
      </c>
      <c r="B23" s="6" t="s">
        <v>68</v>
      </c>
      <c r="C23" s="3" t="s">
        <v>96</v>
      </c>
      <c r="D23" s="3" t="s">
        <v>97</v>
      </c>
      <c r="E23" s="3" t="s">
        <v>122</v>
      </c>
      <c r="F23" s="3" t="s">
        <v>123</v>
      </c>
      <c r="G23" s="3" t="s">
        <v>124</v>
      </c>
      <c r="H23" s="5" t="s">
        <v>20</v>
      </c>
      <c r="I23" s="3" t="s">
        <v>21</v>
      </c>
      <c r="J23" s="3" t="s">
        <v>125</v>
      </c>
      <c r="K23" s="3"/>
      <c r="L23" s="3"/>
      <c r="M23" s="3" t="s">
        <v>23</v>
      </c>
      <c r="N23" s="3" t="s">
        <v>126</v>
      </c>
    </row>
    <row r="24" customFormat="false" ht="23.25" hidden="false" customHeight="true" outlineLevel="0" collapsed="false">
      <c r="A24" s="3" t="n">
        <v>23</v>
      </c>
      <c r="B24" s="6" t="s">
        <v>68</v>
      </c>
      <c r="C24" s="3" t="s">
        <v>127</v>
      </c>
      <c r="D24" s="3" t="s">
        <v>128</v>
      </c>
      <c r="E24" s="3" t="s">
        <v>129</v>
      </c>
      <c r="F24" s="3" t="s">
        <v>130</v>
      </c>
      <c r="G24" s="3" t="s">
        <v>131</v>
      </c>
      <c r="H24" s="5" t="s">
        <v>20</v>
      </c>
      <c r="I24" s="3" t="s">
        <v>58</v>
      </c>
      <c r="J24" s="3" t="s">
        <v>74</v>
      </c>
      <c r="K24" s="3"/>
      <c r="L24" s="3"/>
      <c r="M24" s="3" t="s">
        <v>23</v>
      </c>
      <c r="N24" s="3" t="s">
        <v>132</v>
      </c>
    </row>
    <row r="25" customFormat="false" ht="23.25" hidden="false" customHeight="true" outlineLevel="0" collapsed="false">
      <c r="A25" s="3" t="n">
        <v>24</v>
      </c>
      <c r="B25" s="6" t="s">
        <v>68</v>
      </c>
      <c r="C25" s="3" t="s">
        <v>127</v>
      </c>
      <c r="D25" s="3" t="s">
        <v>133</v>
      </c>
      <c r="E25" s="3" t="s">
        <v>134</v>
      </c>
      <c r="F25" s="3" t="s">
        <v>135</v>
      </c>
      <c r="G25" s="3" t="s">
        <v>136</v>
      </c>
      <c r="H25" s="5" t="s">
        <v>20</v>
      </c>
      <c r="I25" s="3" t="s">
        <v>53</v>
      </c>
      <c r="J25" s="3" t="s">
        <v>74</v>
      </c>
      <c r="K25" s="3"/>
      <c r="L25" s="3"/>
      <c r="M25" s="3" t="s">
        <v>23</v>
      </c>
      <c r="N25" s="3" t="s">
        <v>137</v>
      </c>
    </row>
    <row r="26" customFormat="false" ht="23.25" hidden="false" customHeight="true" outlineLevel="0" collapsed="false">
      <c r="A26" s="3" t="n">
        <v>25</v>
      </c>
      <c r="B26" s="6" t="s">
        <v>68</v>
      </c>
      <c r="C26" s="3" t="s">
        <v>127</v>
      </c>
      <c r="D26" s="3" t="s">
        <v>138</v>
      </c>
      <c r="E26" s="3" t="s">
        <v>139</v>
      </c>
      <c r="F26" s="3" t="s">
        <v>140</v>
      </c>
      <c r="G26" s="3" t="s">
        <v>141</v>
      </c>
      <c r="H26" s="5" t="s">
        <v>20</v>
      </c>
      <c r="I26" s="3" t="s">
        <v>21</v>
      </c>
      <c r="J26" s="3" t="s">
        <v>74</v>
      </c>
      <c r="K26" s="3"/>
      <c r="L26" s="3"/>
      <c r="M26" s="3" t="s">
        <v>23</v>
      </c>
      <c r="N26" s="3" t="s">
        <v>142</v>
      </c>
    </row>
    <row r="27" customFormat="false" ht="23.25" hidden="false" customHeight="true" outlineLevel="0" collapsed="false">
      <c r="A27" s="3" t="n">
        <v>26</v>
      </c>
      <c r="B27" s="6" t="s">
        <v>68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147</v>
      </c>
      <c r="H27" s="5" t="s">
        <v>20</v>
      </c>
      <c r="I27" s="3" t="s">
        <v>21</v>
      </c>
      <c r="J27" s="3" t="s">
        <v>74</v>
      </c>
      <c r="K27" s="3"/>
      <c r="L27" s="3"/>
      <c r="M27" s="3" t="s">
        <v>23</v>
      </c>
      <c r="N27" s="3" t="s">
        <v>148</v>
      </c>
    </row>
    <row r="28" customFormat="false" ht="23.25" hidden="false" customHeight="true" outlineLevel="0" collapsed="false">
      <c r="A28" s="3" t="n">
        <v>27</v>
      </c>
      <c r="B28" s="6" t="s">
        <v>68</v>
      </c>
      <c r="C28" s="3" t="s">
        <v>149</v>
      </c>
      <c r="D28" s="3" t="s">
        <v>26</v>
      </c>
      <c r="E28" s="3" t="s">
        <v>150</v>
      </c>
      <c r="F28" s="3" t="s">
        <v>151</v>
      </c>
      <c r="G28" s="3" t="s">
        <v>152</v>
      </c>
      <c r="H28" s="5" t="s">
        <v>20</v>
      </c>
      <c r="I28" s="3" t="s">
        <v>58</v>
      </c>
      <c r="J28" s="3" t="s">
        <v>41</v>
      </c>
      <c r="K28" s="3"/>
      <c r="L28" s="3"/>
      <c r="M28" s="3" t="s">
        <v>23</v>
      </c>
      <c r="N28" s="3" t="s">
        <v>153</v>
      </c>
    </row>
    <row r="29" customFormat="false" ht="23.25" hidden="false" customHeight="true" outlineLevel="0" collapsed="false">
      <c r="A29" s="3" t="n">
        <v>28</v>
      </c>
      <c r="B29" s="6" t="s">
        <v>68</v>
      </c>
      <c r="C29" s="3" t="s">
        <v>149</v>
      </c>
      <c r="D29" s="3" t="s">
        <v>26</v>
      </c>
      <c r="E29" s="3" t="s">
        <v>154</v>
      </c>
      <c r="F29" s="3" t="s">
        <v>151</v>
      </c>
      <c r="G29" s="3" t="s">
        <v>155</v>
      </c>
      <c r="H29" s="5" t="s">
        <v>20</v>
      </c>
      <c r="I29" s="3" t="s">
        <v>53</v>
      </c>
      <c r="J29" s="3" t="s">
        <v>74</v>
      </c>
      <c r="K29" s="3"/>
      <c r="L29" s="3"/>
      <c r="M29" s="3" t="s">
        <v>23</v>
      </c>
      <c r="N29" s="3" t="s">
        <v>156</v>
      </c>
    </row>
    <row r="30" customFormat="false" ht="23.25" hidden="false" customHeight="true" outlineLevel="0" collapsed="false">
      <c r="A30" s="3" t="n">
        <v>29</v>
      </c>
      <c r="B30" s="6" t="s">
        <v>68</v>
      </c>
      <c r="C30" s="3" t="s">
        <v>149</v>
      </c>
      <c r="D30" s="3" t="s">
        <v>49</v>
      </c>
      <c r="E30" s="3" t="s">
        <v>157</v>
      </c>
      <c r="F30" s="3" t="s">
        <v>158</v>
      </c>
      <c r="G30" s="3" t="s">
        <v>159</v>
      </c>
      <c r="H30" s="5" t="s">
        <v>20</v>
      </c>
      <c r="I30" s="3" t="s">
        <v>53</v>
      </c>
      <c r="J30" s="3" t="s">
        <v>74</v>
      </c>
      <c r="K30" s="3"/>
      <c r="L30" s="3"/>
      <c r="M30" s="3" t="s">
        <v>23</v>
      </c>
      <c r="N30" s="3" t="s">
        <v>160</v>
      </c>
    </row>
    <row r="31" customFormat="false" ht="15" hidden="false" customHeight="true" outlineLevel="0" collapsed="false">
      <c r="A31" s="3" t="n">
        <v>30</v>
      </c>
      <c r="B31" s="6" t="s">
        <v>68</v>
      </c>
      <c r="C31" s="3" t="s">
        <v>149</v>
      </c>
      <c r="D31" s="3" t="s">
        <v>161</v>
      </c>
      <c r="E31" s="3" t="s">
        <v>162</v>
      </c>
      <c r="F31" s="3" t="s">
        <v>163</v>
      </c>
      <c r="G31" s="3" t="s">
        <v>164</v>
      </c>
      <c r="H31" s="5" t="s">
        <v>20</v>
      </c>
      <c r="I31" s="3" t="s">
        <v>53</v>
      </c>
      <c r="J31" s="3" t="s">
        <v>74</v>
      </c>
      <c r="K31" s="3"/>
      <c r="L31" s="3"/>
      <c r="M31" s="3" t="s">
        <v>23</v>
      </c>
      <c r="N31" s="3" t="s">
        <v>165</v>
      </c>
    </row>
    <row r="32" customFormat="false" ht="23.25" hidden="false" customHeight="true" outlineLevel="0" collapsed="false">
      <c r="A32" s="3" t="n">
        <v>31</v>
      </c>
      <c r="B32" s="6" t="s">
        <v>68</v>
      </c>
      <c r="C32" s="3" t="s">
        <v>166</v>
      </c>
      <c r="D32" s="3" t="s">
        <v>161</v>
      </c>
      <c r="E32" s="3" t="s">
        <v>167</v>
      </c>
      <c r="F32" s="3" t="s">
        <v>168</v>
      </c>
      <c r="G32" s="3" t="s">
        <v>169</v>
      </c>
      <c r="H32" s="5" t="s">
        <v>20</v>
      </c>
      <c r="I32" s="3" t="s">
        <v>21</v>
      </c>
      <c r="J32" s="3" t="s">
        <v>74</v>
      </c>
      <c r="K32" s="3"/>
      <c r="L32" s="3"/>
      <c r="M32" s="3" t="s">
        <v>23</v>
      </c>
      <c r="N32" s="3" t="s">
        <v>170</v>
      </c>
    </row>
    <row r="33" customFormat="false" ht="15" hidden="false" customHeight="true" outlineLevel="0" collapsed="false">
      <c r="A33" s="3" t="n">
        <v>32</v>
      </c>
      <c r="B33" s="7" t="s">
        <v>171</v>
      </c>
      <c r="C33" s="3" t="s">
        <v>15</v>
      </c>
      <c r="D33" s="3" t="s">
        <v>172</v>
      </c>
      <c r="E33" s="3" t="s">
        <v>173</v>
      </c>
      <c r="F33" s="3" t="s">
        <v>174</v>
      </c>
      <c r="G33" s="3" t="s">
        <v>175</v>
      </c>
      <c r="H33" s="5" t="s">
        <v>20</v>
      </c>
      <c r="I33" s="3" t="s">
        <v>58</v>
      </c>
      <c r="J33" s="3" t="s">
        <v>74</v>
      </c>
      <c r="K33" s="3"/>
      <c r="L33" s="3"/>
      <c r="M33" s="3" t="s">
        <v>23</v>
      </c>
      <c r="N33" s="3"/>
    </row>
    <row r="34" customFormat="false" ht="23.25" hidden="false" customHeight="true" outlineLevel="0" collapsed="false">
      <c r="A34" s="3" t="n">
        <v>33</v>
      </c>
      <c r="B34" s="7" t="s">
        <v>171</v>
      </c>
      <c r="C34" s="3" t="s">
        <v>176</v>
      </c>
      <c r="D34" s="3" t="s">
        <v>69</v>
      </c>
      <c r="E34" s="3" t="s">
        <v>177</v>
      </c>
      <c r="F34" s="3" t="s">
        <v>178</v>
      </c>
      <c r="G34" s="3" t="s">
        <v>179</v>
      </c>
      <c r="H34" s="5" t="s">
        <v>20</v>
      </c>
      <c r="I34" s="3" t="s">
        <v>53</v>
      </c>
      <c r="J34" s="3" t="s">
        <v>74</v>
      </c>
      <c r="K34" s="3"/>
      <c r="L34" s="3"/>
      <c r="M34" s="3" t="s">
        <v>23</v>
      </c>
      <c r="N34" s="3" t="s">
        <v>180</v>
      </c>
    </row>
    <row r="35" customFormat="false" ht="23.25" hidden="false" customHeight="true" outlineLevel="0" collapsed="false">
      <c r="A35" s="3" t="n">
        <v>34</v>
      </c>
      <c r="B35" s="7" t="s">
        <v>171</v>
      </c>
      <c r="C35" s="3" t="s">
        <v>176</v>
      </c>
      <c r="D35" s="3" t="s">
        <v>181</v>
      </c>
      <c r="E35" s="3" t="s">
        <v>182</v>
      </c>
      <c r="F35" s="3" t="s">
        <v>183</v>
      </c>
      <c r="G35" s="3" t="s">
        <v>184</v>
      </c>
      <c r="H35" s="5" t="s">
        <v>20</v>
      </c>
      <c r="I35" s="3" t="s">
        <v>53</v>
      </c>
      <c r="J35" s="3" t="s">
        <v>74</v>
      </c>
      <c r="K35" s="3"/>
      <c r="L35" s="3"/>
      <c r="M35" s="3" t="s">
        <v>23</v>
      </c>
      <c r="N35" s="3"/>
    </row>
    <row r="36" customFormat="false" ht="15" hidden="false" customHeight="true" outlineLevel="0" collapsed="false">
      <c r="A36" s="3" t="n">
        <v>35</v>
      </c>
      <c r="B36" s="7" t="s">
        <v>171</v>
      </c>
      <c r="C36" s="3" t="s">
        <v>185</v>
      </c>
      <c r="D36" s="3" t="s">
        <v>161</v>
      </c>
      <c r="E36" s="3" t="s">
        <v>186</v>
      </c>
      <c r="F36" s="3" t="s">
        <v>187</v>
      </c>
      <c r="G36" s="3" t="s">
        <v>188</v>
      </c>
      <c r="H36" s="5" t="s">
        <v>20</v>
      </c>
      <c r="I36" s="3" t="s">
        <v>189</v>
      </c>
      <c r="J36" s="3" t="s">
        <v>41</v>
      </c>
      <c r="K36" s="3"/>
      <c r="L36" s="3"/>
      <c r="M36" s="3" t="s">
        <v>23</v>
      </c>
      <c r="N36" s="3" t="s">
        <v>190</v>
      </c>
    </row>
    <row r="37" customFormat="false" ht="23.25" hidden="false" customHeight="true" outlineLevel="0" collapsed="false">
      <c r="A37" s="3" t="n">
        <v>36</v>
      </c>
      <c r="B37" s="7" t="s">
        <v>171</v>
      </c>
      <c r="C37" s="3" t="s">
        <v>185</v>
      </c>
      <c r="D37" s="3" t="s">
        <v>26</v>
      </c>
      <c r="E37" s="3" t="s">
        <v>191</v>
      </c>
      <c r="F37" s="3" t="s">
        <v>168</v>
      </c>
      <c r="G37" s="3" t="s">
        <v>192</v>
      </c>
      <c r="H37" s="5" t="s">
        <v>20</v>
      </c>
      <c r="I37" s="3" t="s">
        <v>189</v>
      </c>
      <c r="J37" s="3" t="s">
        <v>125</v>
      </c>
      <c r="K37" s="3"/>
      <c r="L37" s="3"/>
      <c r="M37" s="3" t="s">
        <v>23</v>
      </c>
      <c r="N37" s="3"/>
    </row>
    <row r="38" customFormat="false" ht="15" hidden="false" customHeight="true" outlineLevel="0" collapsed="false">
      <c r="A38" s="3" t="n">
        <v>37</v>
      </c>
      <c r="B38" s="7" t="s">
        <v>171</v>
      </c>
      <c r="C38" s="3" t="s">
        <v>193</v>
      </c>
      <c r="D38" s="3" t="s">
        <v>181</v>
      </c>
      <c r="E38" s="3" t="s">
        <v>194</v>
      </c>
      <c r="F38" s="3" t="s">
        <v>135</v>
      </c>
      <c r="G38" s="3" t="s">
        <v>195</v>
      </c>
      <c r="H38" s="5" t="s">
        <v>20</v>
      </c>
      <c r="I38" s="3" t="s">
        <v>53</v>
      </c>
      <c r="J38" s="3" t="s">
        <v>74</v>
      </c>
      <c r="K38" s="3"/>
      <c r="L38" s="3"/>
      <c r="M38" s="3" t="s">
        <v>23</v>
      </c>
      <c r="N38" s="3"/>
    </row>
    <row r="39" customFormat="false" ht="23.25" hidden="false" customHeight="true" outlineLevel="0" collapsed="false">
      <c r="A39" s="3" t="n">
        <v>38</v>
      </c>
      <c r="B39" s="7" t="s">
        <v>171</v>
      </c>
      <c r="C39" s="3" t="s">
        <v>96</v>
      </c>
      <c r="D39" s="3" t="s">
        <v>97</v>
      </c>
      <c r="E39" s="3" t="s">
        <v>196</v>
      </c>
      <c r="F39" s="3" t="s">
        <v>197</v>
      </c>
      <c r="G39" s="3" t="s">
        <v>198</v>
      </c>
      <c r="H39" s="5" t="s">
        <v>20</v>
      </c>
      <c r="I39" s="3" t="s">
        <v>58</v>
      </c>
      <c r="J39" s="3" t="s">
        <v>74</v>
      </c>
      <c r="K39" s="3"/>
      <c r="L39" s="3"/>
      <c r="M39" s="3" t="s">
        <v>23</v>
      </c>
      <c r="N39" s="3" t="s">
        <v>199</v>
      </c>
    </row>
    <row r="40" customFormat="false" ht="23.25" hidden="false" customHeight="true" outlineLevel="0" collapsed="false">
      <c r="A40" s="3" t="n">
        <v>39</v>
      </c>
      <c r="B40" s="7" t="s">
        <v>171</v>
      </c>
      <c r="C40" s="3" t="s">
        <v>96</v>
      </c>
      <c r="D40" s="3" t="s">
        <v>97</v>
      </c>
      <c r="E40" s="3" t="s">
        <v>200</v>
      </c>
      <c r="F40" s="3" t="s">
        <v>168</v>
      </c>
      <c r="G40" s="3" t="s">
        <v>201</v>
      </c>
      <c r="H40" s="5" t="s">
        <v>20</v>
      </c>
      <c r="I40" s="3" t="s">
        <v>53</v>
      </c>
      <c r="J40" s="3" t="s">
        <v>41</v>
      </c>
      <c r="K40" s="3"/>
      <c r="L40" s="3"/>
      <c r="M40" s="3" t="s">
        <v>23</v>
      </c>
      <c r="N40" s="3" t="s">
        <v>202</v>
      </c>
    </row>
    <row r="41" customFormat="false" ht="15" hidden="false" customHeight="true" outlineLevel="0" collapsed="false">
      <c r="A41" s="3" t="n">
        <v>40</v>
      </c>
      <c r="B41" s="7" t="s">
        <v>171</v>
      </c>
      <c r="C41" s="3" t="s">
        <v>96</v>
      </c>
      <c r="D41" s="3" t="s">
        <v>97</v>
      </c>
      <c r="E41" s="3" t="s">
        <v>203</v>
      </c>
      <c r="F41" s="3" t="s">
        <v>204</v>
      </c>
      <c r="G41" s="3" t="s">
        <v>205</v>
      </c>
      <c r="H41" s="5" t="s">
        <v>20</v>
      </c>
      <c r="I41" s="3" t="s">
        <v>21</v>
      </c>
      <c r="J41" s="3" t="s">
        <v>125</v>
      </c>
      <c r="K41" s="3"/>
      <c r="L41" s="3"/>
      <c r="M41" s="3" t="s">
        <v>23</v>
      </c>
      <c r="N41" s="3"/>
    </row>
    <row r="42" customFormat="false" ht="23.25" hidden="false" customHeight="true" outlineLevel="0" collapsed="false">
      <c r="A42" s="3" t="n">
        <v>41</v>
      </c>
      <c r="B42" s="8" t="s">
        <v>206</v>
      </c>
      <c r="C42" s="3" t="s">
        <v>185</v>
      </c>
      <c r="D42" s="3" t="s">
        <v>181</v>
      </c>
      <c r="E42" s="3" t="s">
        <v>207</v>
      </c>
      <c r="F42" s="3" t="s">
        <v>208</v>
      </c>
      <c r="G42" s="3" t="s">
        <v>209</v>
      </c>
      <c r="H42" s="5" t="s">
        <v>20</v>
      </c>
      <c r="I42" s="3" t="s">
        <v>189</v>
      </c>
      <c r="J42" s="3" t="s">
        <v>74</v>
      </c>
      <c r="K42" s="3"/>
      <c r="L42" s="3"/>
      <c r="M42" s="3" t="s">
        <v>23</v>
      </c>
      <c r="N42" s="3"/>
    </row>
    <row r="43" customFormat="false" ht="15" hidden="false" customHeight="true" outlineLevel="0" collapsed="false">
      <c r="A43" s="3" t="n">
        <v>42</v>
      </c>
      <c r="B43" s="8" t="s">
        <v>206</v>
      </c>
      <c r="C43" s="3" t="s">
        <v>210</v>
      </c>
      <c r="D43" s="3" t="s">
        <v>181</v>
      </c>
      <c r="E43" s="3" t="s">
        <v>211</v>
      </c>
      <c r="F43" s="3" t="s">
        <v>212</v>
      </c>
      <c r="G43" s="3" t="s">
        <v>213</v>
      </c>
      <c r="H43" s="5" t="s">
        <v>20</v>
      </c>
      <c r="I43" s="3" t="s">
        <v>58</v>
      </c>
      <c r="J43" s="3" t="s">
        <v>74</v>
      </c>
      <c r="K43" s="3"/>
      <c r="L43" s="3"/>
      <c r="M43" s="3" t="s">
        <v>23</v>
      </c>
      <c r="N43" s="3"/>
    </row>
    <row r="44" customFormat="false" ht="15" hidden="false" customHeight="true" outlineLevel="0" collapsed="false">
      <c r="A44" s="3" t="n">
        <v>43</v>
      </c>
      <c r="B44" s="8" t="s">
        <v>206</v>
      </c>
      <c r="C44" s="3" t="s">
        <v>185</v>
      </c>
      <c r="D44" s="3" t="s">
        <v>181</v>
      </c>
      <c r="E44" s="3" t="s">
        <v>214</v>
      </c>
      <c r="F44" s="3" t="s">
        <v>168</v>
      </c>
      <c r="G44" s="3" t="s">
        <v>215</v>
      </c>
      <c r="H44" s="5" t="s">
        <v>20</v>
      </c>
      <c r="I44" s="3" t="s">
        <v>216</v>
      </c>
      <c r="J44" s="3" t="s">
        <v>125</v>
      </c>
      <c r="K44" s="3"/>
      <c r="L44" s="3"/>
      <c r="M44" s="3" t="s">
        <v>23</v>
      </c>
      <c r="N44" s="3"/>
    </row>
    <row r="45" customFormat="false" ht="23.25" hidden="false" customHeight="true" outlineLevel="0" collapsed="false">
      <c r="A45" s="3" t="n">
        <v>44</v>
      </c>
      <c r="B45" s="8" t="s">
        <v>206</v>
      </c>
      <c r="C45" s="3" t="s">
        <v>185</v>
      </c>
      <c r="D45" s="3" t="s">
        <v>96</v>
      </c>
      <c r="E45" s="3" t="s">
        <v>217</v>
      </c>
      <c r="F45" s="3" t="s">
        <v>168</v>
      </c>
      <c r="G45" s="3" t="s">
        <v>218</v>
      </c>
      <c r="H45" s="5" t="s">
        <v>20</v>
      </c>
      <c r="I45" s="3" t="s">
        <v>53</v>
      </c>
      <c r="J45" s="3" t="s">
        <v>125</v>
      </c>
      <c r="K45" s="3"/>
      <c r="L45" s="3"/>
      <c r="M45" s="3" t="s">
        <v>23</v>
      </c>
      <c r="N45" s="3"/>
    </row>
    <row r="46" customFormat="false" ht="23.25" hidden="false" customHeight="true" outlineLevel="0" collapsed="false">
      <c r="A46" s="3" t="n">
        <v>45</v>
      </c>
      <c r="B46" s="8" t="s">
        <v>206</v>
      </c>
      <c r="C46" s="3" t="s">
        <v>185</v>
      </c>
      <c r="D46" s="3" t="s">
        <v>96</v>
      </c>
      <c r="E46" s="3" t="s">
        <v>219</v>
      </c>
      <c r="F46" s="3" t="s">
        <v>168</v>
      </c>
      <c r="G46" s="3" t="s">
        <v>220</v>
      </c>
      <c r="H46" s="5" t="s">
        <v>20</v>
      </c>
      <c r="I46" s="3" t="s">
        <v>58</v>
      </c>
      <c r="J46" s="3" t="s">
        <v>125</v>
      </c>
      <c r="K46" s="3"/>
      <c r="L46" s="3"/>
      <c r="M46" s="3" t="s">
        <v>23</v>
      </c>
      <c r="N46" s="3"/>
    </row>
    <row r="47" customFormat="false" ht="23.85" hidden="false" customHeight="false" outlineLevel="0" collapsed="false">
      <c r="A47" s="3" t="n">
        <v>46</v>
      </c>
      <c r="B47" s="4" t="s">
        <v>14</v>
      </c>
      <c r="C47" s="3" t="s">
        <v>221</v>
      </c>
      <c r="D47" s="3" t="s">
        <v>222</v>
      </c>
      <c r="E47" s="3" t="s">
        <v>223</v>
      </c>
      <c r="F47" s="3" t="s">
        <v>224</v>
      </c>
      <c r="G47" s="3" t="s">
        <v>225</v>
      </c>
      <c r="H47" s="5" t="s">
        <v>20</v>
      </c>
      <c r="I47" s="3" t="s">
        <v>226</v>
      </c>
      <c r="J47" s="3" t="s">
        <v>22</v>
      </c>
      <c r="K47" s="3"/>
      <c r="L47" s="3"/>
      <c r="M47" s="3" t="s">
        <v>23</v>
      </c>
      <c r="N47" s="3" t="s">
        <v>227</v>
      </c>
    </row>
    <row r="48" customFormat="false" ht="35.05" hidden="false" customHeight="false" outlineLevel="0" collapsed="false">
      <c r="A48" s="3" t="n">
        <v>47</v>
      </c>
      <c r="B48" s="4" t="s">
        <v>14</v>
      </c>
      <c r="C48" s="3" t="s">
        <v>221</v>
      </c>
      <c r="D48" s="3" t="s">
        <v>222</v>
      </c>
      <c r="E48" s="3" t="s">
        <v>228</v>
      </c>
      <c r="F48" s="3" t="s">
        <v>224</v>
      </c>
      <c r="G48" s="3" t="s">
        <v>229</v>
      </c>
      <c r="H48" s="5" t="s">
        <v>20</v>
      </c>
      <c r="I48" s="3" t="s">
        <v>226</v>
      </c>
      <c r="J48" s="3" t="s">
        <v>22</v>
      </c>
      <c r="K48" s="3"/>
      <c r="L48" s="3"/>
      <c r="M48" s="3" t="s">
        <v>23</v>
      </c>
      <c r="N48" s="3" t="s">
        <v>230</v>
      </c>
    </row>
    <row r="49" customFormat="false" ht="35.05" hidden="false" customHeight="false" outlineLevel="0" collapsed="false">
      <c r="A49" s="3" t="n">
        <v>48</v>
      </c>
      <c r="B49" s="4" t="s">
        <v>14</v>
      </c>
      <c r="C49" s="3" t="s">
        <v>221</v>
      </c>
      <c r="D49" s="3" t="s">
        <v>49</v>
      </c>
      <c r="E49" s="3" t="s">
        <v>231</v>
      </c>
      <c r="F49" s="3" t="s">
        <v>232</v>
      </c>
      <c r="G49" s="3" t="s">
        <v>233</v>
      </c>
      <c r="H49" s="5" t="s">
        <v>20</v>
      </c>
      <c r="I49" s="3" t="s">
        <v>53</v>
      </c>
      <c r="J49" s="3" t="s">
        <v>22</v>
      </c>
      <c r="K49" s="3"/>
      <c r="L49" s="3"/>
      <c r="M49" s="3" t="s">
        <v>23</v>
      </c>
      <c r="N49" s="3" t="s">
        <v>234</v>
      </c>
    </row>
    <row r="50" customFormat="false" ht="35.05" hidden="false" customHeight="false" outlineLevel="0" collapsed="false">
      <c r="A50" s="3" t="n">
        <v>49</v>
      </c>
      <c r="B50" s="6" t="s">
        <v>68</v>
      </c>
      <c r="C50" s="3" t="s">
        <v>235</v>
      </c>
      <c r="D50" s="3" t="s">
        <v>236</v>
      </c>
      <c r="E50" s="3" t="s">
        <v>237</v>
      </c>
      <c r="F50" s="3" t="s">
        <v>238</v>
      </c>
      <c r="G50" s="3" t="s">
        <v>239</v>
      </c>
      <c r="H50" s="5" t="s">
        <v>20</v>
      </c>
      <c r="I50" s="3" t="s">
        <v>226</v>
      </c>
      <c r="J50" s="3" t="s">
        <v>41</v>
      </c>
      <c r="K50" s="3"/>
      <c r="L50" s="3"/>
      <c r="M50" s="3" t="s">
        <v>23</v>
      </c>
      <c r="N50" s="3" t="s">
        <v>240</v>
      </c>
    </row>
    <row r="51" customFormat="false" ht="23.85" hidden="false" customHeight="false" outlineLevel="0" collapsed="false">
      <c r="A51" s="3" t="n">
        <v>50</v>
      </c>
      <c r="B51" s="6" t="s">
        <v>68</v>
      </c>
      <c r="C51" s="3" t="s">
        <v>235</v>
      </c>
      <c r="D51" s="3" t="s">
        <v>26</v>
      </c>
      <c r="E51" s="3" t="s">
        <v>241</v>
      </c>
      <c r="F51" s="3" t="s">
        <v>242</v>
      </c>
      <c r="G51" s="3" t="s">
        <v>243</v>
      </c>
      <c r="H51" s="5" t="s">
        <v>20</v>
      </c>
      <c r="I51" s="3" t="s">
        <v>226</v>
      </c>
      <c r="J51" s="3" t="s">
        <v>41</v>
      </c>
      <c r="K51" s="3"/>
      <c r="L51" s="3"/>
      <c r="M51" s="3" t="s">
        <v>23</v>
      </c>
      <c r="N51" s="3" t="s">
        <v>244</v>
      </c>
    </row>
    <row r="52" customFormat="false" ht="35.05" hidden="false" customHeight="false" outlineLevel="0" collapsed="false">
      <c r="A52" s="3" t="n">
        <v>51</v>
      </c>
      <c r="B52" s="6" t="s">
        <v>68</v>
      </c>
      <c r="C52" s="3" t="s">
        <v>235</v>
      </c>
      <c r="D52" s="3" t="s">
        <v>26</v>
      </c>
      <c r="E52" s="3" t="s">
        <v>245</v>
      </c>
      <c r="F52" s="3" t="s">
        <v>246</v>
      </c>
      <c r="G52" s="3" t="s">
        <v>247</v>
      </c>
      <c r="H52" s="5" t="s">
        <v>20</v>
      </c>
      <c r="I52" s="3" t="s">
        <v>226</v>
      </c>
      <c r="J52" s="3" t="s">
        <v>74</v>
      </c>
      <c r="K52" s="3"/>
      <c r="L52" s="3"/>
      <c r="M52" s="3" t="s">
        <v>23</v>
      </c>
      <c r="N52" s="3" t="s">
        <v>248</v>
      </c>
    </row>
    <row r="53" customFormat="false" ht="23.85" hidden="false" customHeight="false" outlineLevel="0" collapsed="false">
      <c r="A53" s="3" t="n">
        <v>52</v>
      </c>
      <c r="B53" s="6" t="s">
        <v>68</v>
      </c>
      <c r="C53" s="3" t="s">
        <v>235</v>
      </c>
      <c r="D53" s="3" t="s">
        <v>249</v>
      </c>
      <c r="E53" s="3" t="s">
        <v>250</v>
      </c>
      <c r="F53" s="3" t="s">
        <v>111</v>
      </c>
      <c r="G53" s="3" t="s">
        <v>251</v>
      </c>
      <c r="H53" s="5" t="s">
        <v>20</v>
      </c>
      <c r="I53" s="3" t="s">
        <v>226</v>
      </c>
      <c r="J53" s="3" t="s">
        <v>41</v>
      </c>
      <c r="K53" s="3"/>
      <c r="L53" s="3"/>
      <c r="M53" s="3" t="s">
        <v>23</v>
      </c>
      <c r="N53" s="3" t="s">
        <v>252</v>
      </c>
    </row>
  </sheetData>
  <autoFilter ref="A1:N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9B54A"/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0"/>
    <col collapsed="false" customWidth="true" hidden="false" outlineLevel="0" max="4" min="4" style="1" width="14"/>
    <col collapsed="false" customWidth="true" hidden="false" outlineLevel="0" max="5" min="5" style="1" width="30"/>
    <col collapsed="false" customWidth="true" hidden="false" outlineLevel="0" max="6" min="6" style="1" width="25"/>
    <col collapsed="false" customWidth="true" hidden="false" outlineLevel="0" max="7" min="7" style="1" width="10"/>
    <col collapsed="false" customWidth="true" hidden="false" outlineLevel="0" max="8" min="8" style="1" width="40"/>
  </cols>
  <sheetData>
    <row r="1" customFormat="false" ht="15" hidden="false" customHeight="true" outlineLevel="0" collapsed="false">
      <c r="A1" s="2" t="s">
        <v>0</v>
      </c>
      <c r="B1" s="2" t="s">
        <v>3</v>
      </c>
      <c r="C1" s="2" t="s">
        <v>185</v>
      </c>
      <c r="D1" s="2" t="s">
        <v>7</v>
      </c>
      <c r="E1" s="2" t="s">
        <v>253</v>
      </c>
      <c r="F1" s="2" t="s">
        <v>254</v>
      </c>
      <c r="G1" s="2" t="s">
        <v>12</v>
      </c>
      <c r="H1" s="2" t="s">
        <v>13</v>
      </c>
    </row>
    <row r="2" customFormat="false" ht="15" hidden="false" customHeight="true" outlineLevel="0" collapsed="false">
      <c r="A2" s="3" t="n">
        <v>1</v>
      </c>
      <c r="B2" s="3" t="s">
        <v>70</v>
      </c>
      <c r="C2" s="3" t="s">
        <v>255</v>
      </c>
      <c r="D2" s="9" t="s">
        <v>256</v>
      </c>
      <c r="E2" s="3" t="s">
        <v>257</v>
      </c>
      <c r="F2" s="3" t="s">
        <v>258</v>
      </c>
      <c r="G2" s="3" t="s">
        <v>259</v>
      </c>
      <c r="H2" s="3" t="s">
        <v>260</v>
      </c>
    </row>
    <row r="3" customFormat="false" ht="15" hidden="false" customHeight="true" outlineLevel="0" collapsed="false">
      <c r="A3" s="3" t="n">
        <v>2</v>
      </c>
      <c r="B3" s="3" t="s">
        <v>70</v>
      </c>
      <c r="C3" s="3" t="s">
        <v>261</v>
      </c>
      <c r="D3" s="9" t="s">
        <v>256</v>
      </c>
      <c r="E3" s="3" t="s">
        <v>262</v>
      </c>
      <c r="F3" s="3" t="s">
        <v>263</v>
      </c>
      <c r="G3" s="3" t="s">
        <v>259</v>
      </c>
      <c r="H3" s="3" t="s">
        <v>264</v>
      </c>
    </row>
    <row r="4" customFormat="false" ht="15" hidden="false" customHeight="true" outlineLevel="0" collapsed="false">
      <c r="A4" s="3" t="n">
        <v>3</v>
      </c>
      <c r="B4" s="3" t="s">
        <v>70</v>
      </c>
      <c r="C4" s="3" t="s">
        <v>265</v>
      </c>
      <c r="D4" s="9" t="s">
        <v>256</v>
      </c>
      <c r="E4" s="3" t="s">
        <v>266</v>
      </c>
      <c r="F4" s="3" t="s">
        <v>267</v>
      </c>
      <c r="G4" s="3" t="s">
        <v>259</v>
      </c>
      <c r="H4" s="3" t="s">
        <v>268</v>
      </c>
    </row>
    <row r="5" customFormat="false" ht="15" hidden="false" customHeight="true" outlineLevel="0" collapsed="false">
      <c r="A5" s="3" t="n">
        <v>4</v>
      </c>
      <c r="B5" s="3" t="s">
        <v>70</v>
      </c>
      <c r="C5" s="3" t="s">
        <v>269</v>
      </c>
      <c r="D5" s="9" t="s">
        <v>256</v>
      </c>
      <c r="E5" s="3" t="s">
        <v>270</v>
      </c>
      <c r="F5" s="3" t="s">
        <v>271</v>
      </c>
      <c r="G5" s="3" t="s">
        <v>259</v>
      </c>
      <c r="H5" s="3" t="s">
        <v>272</v>
      </c>
    </row>
    <row r="6" customFormat="false" ht="15" hidden="false" customHeight="true" outlineLevel="0" collapsed="false">
      <c r="A6" s="3" t="n">
        <v>5</v>
      </c>
      <c r="B6" s="3" t="s">
        <v>70</v>
      </c>
      <c r="C6" s="3" t="s">
        <v>273</v>
      </c>
      <c r="D6" s="9" t="s">
        <v>256</v>
      </c>
      <c r="E6" s="3" t="s">
        <v>274</v>
      </c>
      <c r="F6" s="3" t="s">
        <v>275</v>
      </c>
      <c r="G6" s="3" t="s">
        <v>259</v>
      </c>
      <c r="H6" s="3" t="s">
        <v>276</v>
      </c>
    </row>
    <row r="7" customFormat="false" ht="15" hidden="false" customHeight="true" outlineLevel="0" collapsed="false">
      <c r="A7" s="3" t="n">
        <v>6</v>
      </c>
      <c r="B7" s="3" t="s">
        <v>70</v>
      </c>
      <c r="C7" s="3" t="s">
        <v>277</v>
      </c>
      <c r="D7" s="9" t="s">
        <v>256</v>
      </c>
      <c r="E7" s="3" t="s">
        <v>278</v>
      </c>
      <c r="F7" s="3" t="s">
        <v>279</v>
      </c>
      <c r="G7" s="3" t="s">
        <v>259</v>
      </c>
      <c r="H7" s="3" t="s">
        <v>280</v>
      </c>
    </row>
    <row r="8" customFormat="false" ht="15" hidden="false" customHeight="true" outlineLevel="0" collapsed="false">
      <c r="A8" s="3" t="n">
        <v>7</v>
      </c>
      <c r="B8" s="3" t="s">
        <v>70</v>
      </c>
      <c r="C8" s="3" t="s">
        <v>281</v>
      </c>
      <c r="D8" s="9" t="s">
        <v>256</v>
      </c>
      <c r="E8" s="3" t="s">
        <v>282</v>
      </c>
      <c r="F8" s="3" t="s">
        <v>283</v>
      </c>
      <c r="G8" s="3" t="s">
        <v>259</v>
      </c>
      <c r="H8" s="3" t="s">
        <v>284</v>
      </c>
    </row>
    <row r="9" customFormat="false" ht="15" hidden="false" customHeight="true" outlineLevel="0" collapsed="false">
      <c r="A9" s="3" t="n">
        <v>8</v>
      </c>
      <c r="B9" s="3" t="s">
        <v>285</v>
      </c>
      <c r="C9" s="3" t="s">
        <v>286</v>
      </c>
      <c r="D9" s="9" t="s">
        <v>256</v>
      </c>
      <c r="E9" s="3" t="s">
        <v>287</v>
      </c>
      <c r="F9" s="3" t="s">
        <v>288</v>
      </c>
      <c r="G9" s="3" t="s">
        <v>259</v>
      </c>
      <c r="H9" s="3" t="s">
        <v>289</v>
      </c>
    </row>
    <row r="10" customFormat="false" ht="15" hidden="false" customHeight="true" outlineLevel="0" collapsed="false">
      <c r="A10" s="3" t="n">
        <v>9</v>
      </c>
      <c r="B10" s="3" t="s">
        <v>285</v>
      </c>
      <c r="C10" s="3" t="s">
        <v>290</v>
      </c>
      <c r="D10" s="9" t="s">
        <v>256</v>
      </c>
      <c r="E10" s="3" t="s">
        <v>291</v>
      </c>
      <c r="F10" s="3" t="s">
        <v>288</v>
      </c>
      <c r="G10" s="3" t="s">
        <v>259</v>
      </c>
      <c r="H10" s="3" t="s">
        <v>292</v>
      </c>
    </row>
    <row r="11" customFormat="false" ht="15" hidden="false" customHeight="true" outlineLevel="0" collapsed="false">
      <c r="A11" s="3" t="n">
        <v>10</v>
      </c>
      <c r="B11" s="3" t="s">
        <v>285</v>
      </c>
      <c r="C11" s="3" t="s">
        <v>293</v>
      </c>
      <c r="D11" s="9" t="s">
        <v>256</v>
      </c>
      <c r="E11" s="3" t="s">
        <v>294</v>
      </c>
      <c r="F11" s="3" t="s">
        <v>295</v>
      </c>
      <c r="G11" s="3" t="s">
        <v>259</v>
      </c>
      <c r="H11" s="3" t="s">
        <v>296</v>
      </c>
    </row>
    <row r="12" customFormat="false" ht="15" hidden="false" customHeight="true" outlineLevel="0" collapsed="false">
      <c r="A12" s="3" t="n">
        <v>11</v>
      </c>
      <c r="B12" s="3" t="s">
        <v>285</v>
      </c>
      <c r="C12" s="3" t="s">
        <v>297</v>
      </c>
      <c r="D12" s="9" t="s">
        <v>256</v>
      </c>
      <c r="E12" s="3" t="s">
        <v>298</v>
      </c>
      <c r="F12" s="3" t="s">
        <v>299</v>
      </c>
      <c r="G12" s="3" t="s">
        <v>259</v>
      </c>
      <c r="H12" s="3" t="s">
        <v>300</v>
      </c>
    </row>
    <row r="13" customFormat="false" ht="15" hidden="false" customHeight="true" outlineLevel="0" collapsed="false">
      <c r="A13" s="3" t="n">
        <v>12</v>
      </c>
      <c r="B13" s="3" t="s">
        <v>285</v>
      </c>
      <c r="C13" s="3" t="s">
        <v>301</v>
      </c>
      <c r="D13" s="9" t="s">
        <v>256</v>
      </c>
      <c r="E13" s="3" t="s">
        <v>302</v>
      </c>
      <c r="F13" s="3" t="s">
        <v>303</v>
      </c>
      <c r="G13" s="3" t="s">
        <v>259</v>
      </c>
      <c r="H13" s="3" t="s">
        <v>304</v>
      </c>
    </row>
    <row r="14" customFormat="false" ht="15" hidden="false" customHeight="true" outlineLevel="0" collapsed="false">
      <c r="A14" s="3" t="n">
        <v>13</v>
      </c>
      <c r="B14" s="3" t="s">
        <v>285</v>
      </c>
      <c r="C14" s="3" t="s">
        <v>305</v>
      </c>
      <c r="D14" s="9" t="s">
        <v>256</v>
      </c>
      <c r="E14" s="3" t="s">
        <v>306</v>
      </c>
      <c r="F14" s="3" t="s">
        <v>307</v>
      </c>
      <c r="G14" s="3" t="s">
        <v>259</v>
      </c>
      <c r="H14" s="3" t="s">
        <v>308</v>
      </c>
    </row>
    <row r="15" customFormat="false" ht="15" hidden="false" customHeight="true" outlineLevel="0" collapsed="false">
      <c r="A15" s="3" t="n">
        <v>14</v>
      </c>
      <c r="B15" s="3" t="s">
        <v>285</v>
      </c>
      <c r="C15" s="3" t="s">
        <v>309</v>
      </c>
      <c r="D15" s="9" t="s">
        <v>256</v>
      </c>
      <c r="E15" s="3" t="s">
        <v>310</v>
      </c>
      <c r="F15" s="3" t="s">
        <v>295</v>
      </c>
      <c r="G15" s="3" t="s">
        <v>259</v>
      </c>
      <c r="H15" s="3" t="s">
        <v>311</v>
      </c>
    </row>
    <row r="16" customFormat="false" ht="15" hidden="false" customHeight="true" outlineLevel="0" collapsed="false">
      <c r="A16" s="3" t="n">
        <v>15</v>
      </c>
      <c r="B16" s="3" t="s">
        <v>285</v>
      </c>
      <c r="C16" s="3" t="s">
        <v>312</v>
      </c>
      <c r="D16" s="9" t="s">
        <v>256</v>
      </c>
      <c r="E16" s="3" t="s">
        <v>313</v>
      </c>
      <c r="F16" s="3" t="s">
        <v>314</v>
      </c>
      <c r="G16" s="3" t="s">
        <v>259</v>
      </c>
      <c r="H16" s="3" t="s">
        <v>315</v>
      </c>
    </row>
    <row r="17" customFormat="false" ht="15" hidden="false" customHeight="true" outlineLevel="0" collapsed="false">
      <c r="A17" s="3" t="n">
        <v>16</v>
      </c>
      <c r="B17" s="3" t="s">
        <v>285</v>
      </c>
      <c r="C17" s="3" t="s">
        <v>316</v>
      </c>
      <c r="D17" s="9" t="s">
        <v>256</v>
      </c>
      <c r="E17" s="3" t="s">
        <v>317</v>
      </c>
      <c r="F17" s="3" t="s">
        <v>318</v>
      </c>
      <c r="G17" s="3" t="s">
        <v>259</v>
      </c>
      <c r="H17" s="3" t="s">
        <v>319</v>
      </c>
    </row>
    <row r="18" customFormat="false" ht="15" hidden="false" customHeight="true" outlineLevel="0" collapsed="false">
      <c r="A18" s="3" t="n">
        <v>17</v>
      </c>
      <c r="B18" s="3" t="s">
        <v>285</v>
      </c>
      <c r="C18" s="3" t="s">
        <v>320</v>
      </c>
      <c r="D18" s="9" t="s">
        <v>256</v>
      </c>
      <c r="E18" s="3" t="s">
        <v>321</v>
      </c>
      <c r="F18" s="3" t="s">
        <v>322</v>
      </c>
      <c r="G18" s="3" t="s">
        <v>259</v>
      </c>
      <c r="H18" s="3" t="s">
        <v>323</v>
      </c>
    </row>
    <row r="19" customFormat="false" ht="15" hidden="false" customHeight="true" outlineLevel="0" collapsed="false">
      <c r="A19" s="3" t="n">
        <v>18</v>
      </c>
      <c r="B19" s="3" t="s">
        <v>285</v>
      </c>
      <c r="C19" s="3" t="s">
        <v>324</v>
      </c>
      <c r="D19" s="9" t="s">
        <v>256</v>
      </c>
      <c r="E19" s="3" t="s">
        <v>325</v>
      </c>
      <c r="F19" s="3" t="s">
        <v>326</v>
      </c>
      <c r="G19" s="3" t="s">
        <v>259</v>
      </c>
      <c r="H19" s="3" t="s">
        <v>327</v>
      </c>
    </row>
    <row r="20" customFormat="false" ht="15" hidden="false" customHeight="true" outlineLevel="0" collapsed="false">
      <c r="A20" s="3" t="n">
        <v>19</v>
      </c>
      <c r="B20" s="3" t="s">
        <v>285</v>
      </c>
      <c r="C20" s="3" t="s">
        <v>328</v>
      </c>
      <c r="D20" s="9" t="s">
        <v>256</v>
      </c>
      <c r="E20" s="3" t="s">
        <v>329</v>
      </c>
      <c r="F20" s="3" t="s">
        <v>330</v>
      </c>
      <c r="G20" s="3" t="s">
        <v>259</v>
      </c>
      <c r="H20" s="3" t="s">
        <v>331</v>
      </c>
    </row>
    <row r="21" customFormat="false" ht="15" hidden="false" customHeight="true" outlineLevel="0" collapsed="false">
      <c r="A21" s="3" t="n">
        <v>20</v>
      </c>
      <c r="B21" s="3" t="s">
        <v>96</v>
      </c>
      <c r="C21" s="3" t="s">
        <v>332</v>
      </c>
      <c r="D21" s="9" t="s">
        <v>256</v>
      </c>
      <c r="E21" s="3" t="s">
        <v>333</v>
      </c>
      <c r="F21" s="3" t="s">
        <v>334</v>
      </c>
      <c r="G21" s="3" t="s">
        <v>259</v>
      </c>
      <c r="H21" s="3" t="s">
        <v>335</v>
      </c>
    </row>
    <row r="22" customFormat="false" ht="15" hidden="false" customHeight="true" outlineLevel="0" collapsed="false">
      <c r="A22" s="3" t="n">
        <v>21</v>
      </c>
      <c r="B22" s="3" t="s">
        <v>96</v>
      </c>
      <c r="C22" s="3" t="s">
        <v>336</v>
      </c>
      <c r="D22" s="9" t="s">
        <v>256</v>
      </c>
      <c r="E22" s="3" t="s">
        <v>337</v>
      </c>
      <c r="F22" s="3" t="s">
        <v>338</v>
      </c>
      <c r="G22" s="3" t="s">
        <v>259</v>
      </c>
      <c r="H22" s="3" t="s">
        <v>339</v>
      </c>
    </row>
    <row r="23" customFormat="false" ht="15" hidden="false" customHeight="true" outlineLevel="0" collapsed="false">
      <c r="A23" s="3" t="n">
        <v>22</v>
      </c>
      <c r="B23" s="3" t="s">
        <v>96</v>
      </c>
      <c r="C23" s="3" t="s">
        <v>340</v>
      </c>
      <c r="D23" s="9" t="s">
        <v>256</v>
      </c>
      <c r="E23" s="3" t="s">
        <v>341</v>
      </c>
      <c r="F23" s="3" t="s">
        <v>342</v>
      </c>
      <c r="G23" s="3" t="s">
        <v>259</v>
      </c>
      <c r="H23" s="3" t="s">
        <v>343</v>
      </c>
    </row>
    <row r="24" customFormat="false" ht="15" hidden="false" customHeight="true" outlineLevel="0" collapsed="false">
      <c r="A24" s="3" t="n">
        <v>23</v>
      </c>
      <c r="B24" s="3" t="s">
        <v>96</v>
      </c>
      <c r="C24" s="3" t="s">
        <v>344</v>
      </c>
      <c r="D24" s="9" t="s">
        <v>256</v>
      </c>
      <c r="E24" s="3" t="s">
        <v>345</v>
      </c>
      <c r="F24" s="3" t="s">
        <v>346</v>
      </c>
      <c r="G24" s="3" t="s">
        <v>259</v>
      </c>
      <c r="H24" s="3" t="s">
        <v>347</v>
      </c>
    </row>
    <row r="25" customFormat="false" ht="15" hidden="false" customHeight="true" outlineLevel="0" collapsed="false">
      <c r="A25" s="3" t="n">
        <v>24</v>
      </c>
      <c r="B25" s="3" t="s">
        <v>96</v>
      </c>
      <c r="C25" s="3" t="s">
        <v>348</v>
      </c>
      <c r="D25" s="9" t="s">
        <v>256</v>
      </c>
      <c r="E25" s="3" t="s">
        <v>349</v>
      </c>
      <c r="F25" s="3" t="s">
        <v>350</v>
      </c>
      <c r="G25" s="3" t="s">
        <v>259</v>
      </c>
      <c r="H25" s="3" t="s">
        <v>351</v>
      </c>
    </row>
    <row r="26" customFormat="false" ht="15" hidden="false" customHeight="true" outlineLevel="0" collapsed="false">
      <c r="A26" s="3" t="n">
        <v>25</v>
      </c>
      <c r="B26" s="3" t="s">
        <v>96</v>
      </c>
      <c r="C26" s="3" t="s">
        <v>352</v>
      </c>
      <c r="D26" s="9" t="s">
        <v>256</v>
      </c>
      <c r="E26" s="3" t="s">
        <v>353</v>
      </c>
      <c r="F26" s="3" t="s">
        <v>354</v>
      </c>
      <c r="G26" s="3" t="s">
        <v>259</v>
      </c>
      <c r="H26" s="3" t="s">
        <v>355</v>
      </c>
    </row>
    <row r="27" customFormat="false" ht="15" hidden="false" customHeight="true" outlineLevel="0" collapsed="false">
      <c r="A27" s="3" t="n">
        <v>26</v>
      </c>
      <c r="B27" s="3" t="s">
        <v>96</v>
      </c>
      <c r="C27" s="3" t="s">
        <v>356</v>
      </c>
      <c r="D27" s="9" t="s">
        <v>256</v>
      </c>
      <c r="E27" s="3" t="s">
        <v>357</v>
      </c>
      <c r="F27" s="3" t="s">
        <v>172</v>
      </c>
      <c r="G27" s="3" t="s">
        <v>259</v>
      </c>
      <c r="H27" s="3" t="s">
        <v>358</v>
      </c>
    </row>
    <row r="28" customFormat="false" ht="15" hidden="false" customHeight="true" outlineLevel="0" collapsed="false">
      <c r="A28" s="3" t="n">
        <v>27</v>
      </c>
      <c r="B28" s="3" t="s">
        <v>96</v>
      </c>
      <c r="C28" s="3" t="s">
        <v>359</v>
      </c>
      <c r="D28" s="9" t="s">
        <v>256</v>
      </c>
      <c r="E28" s="3" t="s">
        <v>360</v>
      </c>
      <c r="F28" s="3" t="s">
        <v>361</v>
      </c>
      <c r="G28" s="3" t="s">
        <v>259</v>
      </c>
      <c r="H28" s="3" t="s">
        <v>362</v>
      </c>
    </row>
    <row r="29" customFormat="false" ht="15" hidden="false" customHeight="true" outlineLevel="0" collapsed="false">
      <c r="A29" s="3" t="n">
        <v>28</v>
      </c>
      <c r="B29" s="3" t="s">
        <v>96</v>
      </c>
      <c r="C29" s="3" t="s">
        <v>363</v>
      </c>
      <c r="D29" s="9" t="s">
        <v>256</v>
      </c>
      <c r="E29" s="3" t="s">
        <v>364</v>
      </c>
      <c r="F29" s="3" t="s">
        <v>365</v>
      </c>
      <c r="G29" s="3" t="s">
        <v>259</v>
      </c>
      <c r="H29" s="3" t="s">
        <v>366</v>
      </c>
    </row>
    <row r="30" customFormat="false" ht="15" hidden="false" customHeight="true" outlineLevel="0" collapsed="false">
      <c r="A30" s="3" t="n">
        <v>29</v>
      </c>
      <c r="B30" s="3" t="s">
        <v>96</v>
      </c>
      <c r="C30" s="3" t="s">
        <v>367</v>
      </c>
      <c r="D30" s="9" t="s">
        <v>256</v>
      </c>
      <c r="E30" s="3" t="s">
        <v>353</v>
      </c>
      <c r="F30" s="3" t="s">
        <v>368</v>
      </c>
      <c r="G30" s="3" t="s">
        <v>259</v>
      </c>
      <c r="H30" s="3" t="s">
        <v>369</v>
      </c>
    </row>
    <row r="31" customFormat="false" ht="15" hidden="false" customHeight="true" outlineLevel="0" collapsed="false">
      <c r="A31" s="3" t="n">
        <v>30</v>
      </c>
      <c r="B31" s="3" t="s">
        <v>96</v>
      </c>
      <c r="C31" s="3" t="s">
        <v>370</v>
      </c>
      <c r="D31" s="9" t="s">
        <v>256</v>
      </c>
      <c r="E31" s="3" t="s">
        <v>371</v>
      </c>
      <c r="F31" s="3" t="s">
        <v>372</v>
      </c>
      <c r="G31" s="3" t="s">
        <v>259</v>
      </c>
      <c r="H31" s="3" t="s">
        <v>373</v>
      </c>
    </row>
    <row r="32" customFormat="false" ht="15" hidden="false" customHeight="true" outlineLevel="0" collapsed="false">
      <c r="A32" s="3" t="n">
        <v>31</v>
      </c>
      <c r="B32" s="3" t="s">
        <v>374</v>
      </c>
      <c r="C32" s="3" t="s">
        <v>375</v>
      </c>
      <c r="D32" s="9" t="s">
        <v>256</v>
      </c>
      <c r="E32" s="3" t="s">
        <v>376</v>
      </c>
      <c r="F32" s="3" t="s">
        <v>377</v>
      </c>
      <c r="G32" s="3" t="s">
        <v>259</v>
      </c>
      <c r="H32" s="3" t="s">
        <v>378</v>
      </c>
    </row>
    <row r="33" customFormat="false" ht="15" hidden="false" customHeight="true" outlineLevel="0" collapsed="false">
      <c r="A33" s="3" t="n">
        <v>32</v>
      </c>
      <c r="B33" s="3" t="s">
        <v>374</v>
      </c>
      <c r="C33" s="3" t="s">
        <v>379</v>
      </c>
      <c r="D33" s="9" t="s">
        <v>256</v>
      </c>
      <c r="E33" s="3" t="s">
        <v>380</v>
      </c>
      <c r="F33" s="3" t="s">
        <v>381</v>
      </c>
      <c r="G33" s="3" t="s">
        <v>259</v>
      </c>
      <c r="H33" s="3" t="s">
        <v>382</v>
      </c>
    </row>
    <row r="34" customFormat="false" ht="15" hidden="false" customHeight="true" outlineLevel="0" collapsed="false">
      <c r="A34" s="3" t="n">
        <v>33</v>
      </c>
      <c r="B34" s="3" t="s">
        <v>374</v>
      </c>
      <c r="C34" s="3" t="s">
        <v>383</v>
      </c>
      <c r="D34" s="9" t="s">
        <v>256</v>
      </c>
      <c r="E34" s="3" t="s">
        <v>384</v>
      </c>
      <c r="F34" s="3" t="s">
        <v>385</v>
      </c>
      <c r="G34" s="3" t="s">
        <v>259</v>
      </c>
      <c r="H34" s="3" t="s">
        <v>386</v>
      </c>
    </row>
    <row r="35" customFormat="false" ht="15" hidden="false" customHeight="true" outlineLevel="0" collapsed="false">
      <c r="A35" s="3" t="n">
        <v>34</v>
      </c>
      <c r="B35" s="3" t="s">
        <v>374</v>
      </c>
      <c r="C35" s="3" t="s">
        <v>387</v>
      </c>
      <c r="D35" s="9" t="s">
        <v>256</v>
      </c>
      <c r="E35" s="3" t="s">
        <v>388</v>
      </c>
      <c r="F35" s="3" t="s">
        <v>389</v>
      </c>
      <c r="G35" s="3" t="s">
        <v>259</v>
      </c>
      <c r="H35" s="3" t="s">
        <v>390</v>
      </c>
    </row>
    <row r="36" customFormat="false" ht="15" hidden="false" customHeight="true" outlineLevel="0" collapsed="false">
      <c r="A36" s="3" t="n">
        <v>35</v>
      </c>
      <c r="B36" s="3" t="s">
        <v>374</v>
      </c>
      <c r="C36" s="3" t="s">
        <v>391</v>
      </c>
      <c r="D36" s="9" t="s">
        <v>256</v>
      </c>
      <c r="E36" s="3" t="s">
        <v>392</v>
      </c>
      <c r="F36" s="3" t="s">
        <v>393</v>
      </c>
      <c r="G36" s="3" t="s">
        <v>259</v>
      </c>
      <c r="H36" s="3" t="s">
        <v>394</v>
      </c>
    </row>
    <row r="37" customFormat="false" ht="15" hidden="false" customHeight="true" outlineLevel="0" collapsed="false">
      <c r="A37" s="3" t="n">
        <v>36</v>
      </c>
      <c r="B37" s="3" t="s">
        <v>374</v>
      </c>
      <c r="C37" s="3" t="s">
        <v>395</v>
      </c>
      <c r="D37" s="9" t="s">
        <v>256</v>
      </c>
      <c r="E37" s="3" t="s">
        <v>396</v>
      </c>
      <c r="F37" s="3" t="s">
        <v>397</v>
      </c>
      <c r="G37" s="3" t="s">
        <v>259</v>
      </c>
      <c r="H37" s="3" t="s">
        <v>398</v>
      </c>
    </row>
    <row r="38" customFormat="false" ht="15" hidden="false" customHeight="true" outlineLevel="0" collapsed="false">
      <c r="A38" s="3" t="n">
        <v>37</v>
      </c>
      <c r="B38" s="3" t="s">
        <v>374</v>
      </c>
      <c r="C38" s="3" t="s">
        <v>399</v>
      </c>
      <c r="D38" s="9" t="s">
        <v>256</v>
      </c>
      <c r="E38" s="3" t="s">
        <v>400</v>
      </c>
      <c r="F38" s="3" t="s">
        <v>401</v>
      </c>
      <c r="G38" s="3" t="s">
        <v>259</v>
      </c>
      <c r="H38" s="3" t="s">
        <v>402</v>
      </c>
    </row>
    <row r="39" customFormat="false" ht="15" hidden="false" customHeight="true" outlineLevel="0" collapsed="false">
      <c r="A39" s="3" t="n">
        <v>38</v>
      </c>
      <c r="B39" s="3" t="s">
        <v>403</v>
      </c>
      <c r="C39" s="3" t="s">
        <v>404</v>
      </c>
      <c r="D39" s="9" t="s">
        <v>256</v>
      </c>
      <c r="E39" s="3" t="s">
        <v>376</v>
      </c>
      <c r="F39" s="3" t="s">
        <v>405</v>
      </c>
      <c r="G39" s="3" t="s">
        <v>259</v>
      </c>
      <c r="H39" s="3" t="s">
        <v>406</v>
      </c>
    </row>
    <row r="40" customFormat="false" ht="15" hidden="false" customHeight="true" outlineLevel="0" collapsed="false">
      <c r="A40" s="3" t="n">
        <v>39</v>
      </c>
      <c r="B40" s="3" t="s">
        <v>403</v>
      </c>
      <c r="C40" s="3" t="s">
        <v>407</v>
      </c>
      <c r="D40" s="9" t="s">
        <v>256</v>
      </c>
      <c r="E40" s="3" t="s">
        <v>408</v>
      </c>
      <c r="F40" s="3" t="s">
        <v>409</v>
      </c>
      <c r="G40" s="3" t="s">
        <v>259</v>
      </c>
      <c r="H40" s="3" t="s">
        <v>410</v>
      </c>
    </row>
    <row r="41" customFormat="false" ht="15" hidden="false" customHeight="true" outlineLevel="0" collapsed="false">
      <c r="A41" s="3" t="n">
        <v>40</v>
      </c>
      <c r="B41" s="3" t="s">
        <v>403</v>
      </c>
      <c r="C41" s="3" t="s">
        <v>411</v>
      </c>
      <c r="D41" s="9" t="s">
        <v>256</v>
      </c>
      <c r="E41" s="3" t="s">
        <v>412</v>
      </c>
      <c r="F41" s="3" t="s">
        <v>413</v>
      </c>
      <c r="G41" s="3" t="s">
        <v>259</v>
      </c>
      <c r="H41" s="3" t="s">
        <v>414</v>
      </c>
    </row>
    <row r="42" customFormat="false" ht="15" hidden="false" customHeight="true" outlineLevel="0" collapsed="false">
      <c r="A42" s="3" t="n">
        <v>41</v>
      </c>
      <c r="B42" s="3" t="s">
        <v>403</v>
      </c>
      <c r="C42" s="3" t="s">
        <v>415</v>
      </c>
      <c r="D42" s="9" t="s">
        <v>256</v>
      </c>
      <c r="E42" s="3" t="s">
        <v>416</v>
      </c>
      <c r="F42" s="3" t="s">
        <v>417</v>
      </c>
      <c r="G42" s="3" t="s">
        <v>259</v>
      </c>
      <c r="H42" s="3" t="s">
        <v>418</v>
      </c>
    </row>
    <row r="43" customFormat="false" ht="15" hidden="false" customHeight="true" outlineLevel="0" collapsed="false">
      <c r="A43" s="3" t="n">
        <v>42</v>
      </c>
      <c r="B43" s="3" t="s">
        <v>403</v>
      </c>
      <c r="C43" s="3" t="s">
        <v>419</v>
      </c>
      <c r="D43" s="9" t="s">
        <v>256</v>
      </c>
      <c r="E43" s="3" t="s">
        <v>420</v>
      </c>
      <c r="F43" s="3" t="s">
        <v>421</v>
      </c>
      <c r="G43" s="3" t="s">
        <v>259</v>
      </c>
      <c r="H43" s="3" t="s">
        <v>422</v>
      </c>
    </row>
    <row r="44" customFormat="false" ht="15" hidden="false" customHeight="true" outlineLevel="0" collapsed="false">
      <c r="A44" s="3" t="n">
        <v>43</v>
      </c>
      <c r="B44" s="3" t="s">
        <v>403</v>
      </c>
      <c r="C44" s="3" t="s">
        <v>423</v>
      </c>
      <c r="D44" s="9" t="s">
        <v>256</v>
      </c>
      <c r="E44" s="3" t="s">
        <v>424</v>
      </c>
      <c r="F44" s="3" t="s">
        <v>425</v>
      </c>
      <c r="G44" s="3" t="s">
        <v>259</v>
      </c>
      <c r="H44" s="3" t="s">
        <v>426</v>
      </c>
    </row>
    <row r="45" customFormat="false" ht="15" hidden="false" customHeight="true" outlineLevel="0" collapsed="false">
      <c r="A45" s="3" t="n">
        <v>44</v>
      </c>
      <c r="B45" s="3" t="s">
        <v>403</v>
      </c>
      <c r="C45" s="3" t="s">
        <v>427</v>
      </c>
      <c r="D45" s="9" t="s">
        <v>256</v>
      </c>
      <c r="E45" s="3" t="s">
        <v>428</v>
      </c>
      <c r="F45" s="3" t="s">
        <v>429</v>
      </c>
      <c r="G45" s="3" t="s">
        <v>259</v>
      </c>
      <c r="H45" s="3" t="s">
        <v>430</v>
      </c>
    </row>
    <row r="46" customFormat="false" ht="15" hidden="false" customHeight="true" outlineLevel="0" collapsed="false">
      <c r="A46" s="3" t="n">
        <v>45</v>
      </c>
      <c r="B46" s="3" t="s">
        <v>161</v>
      </c>
      <c r="C46" s="3" t="s">
        <v>431</v>
      </c>
      <c r="D46" s="9" t="s">
        <v>256</v>
      </c>
      <c r="E46" s="3" t="s">
        <v>432</v>
      </c>
      <c r="F46" s="3" t="s">
        <v>433</v>
      </c>
      <c r="G46" s="3" t="s">
        <v>259</v>
      </c>
      <c r="H46" s="3" t="s">
        <v>434</v>
      </c>
    </row>
    <row r="47" customFormat="false" ht="15" hidden="false" customHeight="true" outlineLevel="0" collapsed="false">
      <c r="A47" s="3" t="n">
        <v>46</v>
      </c>
      <c r="B47" s="3" t="s">
        <v>161</v>
      </c>
      <c r="C47" s="3" t="s">
        <v>435</v>
      </c>
      <c r="D47" s="9" t="s">
        <v>256</v>
      </c>
      <c r="E47" s="3" t="s">
        <v>436</v>
      </c>
      <c r="F47" s="3" t="s">
        <v>405</v>
      </c>
      <c r="G47" s="3" t="s">
        <v>259</v>
      </c>
      <c r="H47" s="3" t="s">
        <v>437</v>
      </c>
    </row>
    <row r="48" customFormat="false" ht="15" hidden="false" customHeight="true" outlineLevel="0" collapsed="false">
      <c r="A48" s="3" t="n">
        <v>47</v>
      </c>
      <c r="B48" s="3" t="s">
        <v>161</v>
      </c>
      <c r="C48" s="3" t="s">
        <v>438</v>
      </c>
      <c r="D48" s="9" t="s">
        <v>256</v>
      </c>
      <c r="E48" s="3" t="s">
        <v>439</v>
      </c>
      <c r="F48" s="3" t="s">
        <v>440</v>
      </c>
      <c r="G48" s="3" t="s">
        <v>259</v>
      </c>
      <c r="H48" s="3" t="s">
        <v>441</v>
      </c>
    </row>
    <row r="49" customFormat="false" ht="15" hidden="false" customHeight="true" outlineLevel="0" collapsed="false">
      <c r="A49" s="3" t="n">
        <v>48</v>
      </c>
      <c r="B49" s="3" t="s">
        <v>161</v>
      </c>
      <c r="C49" s="3" t="s">
        <v>442</v>
      </c>
      <c r="D49" s="9" t="s">
        <v>256</v>
      </c>
      <c r="E49" s="3" t="s">
        <v>443</v>
      </c>
      <c r="F49" s="3" t="s">
        <v>444</v>
      </c>
      <c r="G49" s="3" t="s">
        <v>259</v>
      </c>
      <c r="H49" s="3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F00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35"/>
    <col collapsed="false" customWidth="true" hidden="false" outlineLevel="0" max="4" min="4" style="1" width="45"/>
    <col collapsed="false" customWidth="true" hidden="false" outlineLevel="0" max="5" min="5" style="1" width="40"/>
    <col collapsed="false" customWidth="true" hidden="false" outlineLevel="0" max="6" min="6" style="1" width="14"/>
  </cols>
  <sheetData>
    <row r="1" customFormat="false" ht="15" hidden="false" customHeight="true" outlineLevel="0" collapsed="false">
      <c r="A1" s="2" t="s">
        <v>0</v>
      </c>
      <c r="B1" s="2" t="s">
        <v>3</v>
      </c>
      <c r="C1" s="2" t="s">
        <v>446</v>
      </c>
      <c r="D1" s="2" t="s">
        <v>447</v>
      </c>
      <c r="E1" s="2" t="s">
        <v>448</v>
      </c>
      <c r="F1" s="2" t="s">
        <v>449</v>
      </c>
    </row>
    <row r="2" customFormat="false" ht="23.25" hidden="false" customHeight="true" outlineLevel="0" collapsed="false">
      <c r="A2" s="3" t="n">
        <v>1</v>
      </c>
      <c r="B2" s="3" t="s">
        <v>69</v>
      </c>
      <c r="C2" s="3" t="s">
        <v>450</v>
      </c>
      <c r="D2" s="3" t="s">
        <v>451</v>
      </c>
      <c r="E2" s="3" t="s">
        <v>452</v>
      </c>
      <c r="F2" s="5" t="s">
        <v>453</v>
      </c>
    </row>
    <row r="3" customFormat="false" ht="23.25" hidden="false" customHeight="true" outlineLevel="0" collapsed="false">
      <c r="A3" s="3" t="n">
        <v>2</v>
      </c>
      <c r="B3" s="3" t="s">
        <v>69</v>
      </c>
      <c r="C3" s="3" t="s">
        <v>454</v>
      </c>
      <c r="D3" s="3" t="s">
        <v>455</v>
      </c>
      <c r="E3" s="3" t="s">
        <v>456</v>
      </c>
      <c r="F3" s="5" t="s">
        <v>453</v>
      </c>
    </row>
    <row r="4" customFormat="false" ht="23.25" hidden="false" customHeight="true" outlineLevel="0" collapsed="false">
      <c r="A4" s="3" t="n">
        <v>3</v>
      </c>
      <c r="B4" s="3" t="s">
        <v>69</v>
      </c>
      <c r="C4" s="3" t="s">
        <v>457</v>
      </c>
      <c r="D4" s="3" t="s">
        <v>458</v>
      </c>
      <c r="E4" s="3" t="s">
        <v>459</v>
      </c>
      <c r="F4" s="5" t="s">
        <v>453</v>
      </c>
    </row>
    <row r="5" customFormat="false" ht="23.25" hidden="false" customHeight="true" outlineLevel="0" collapsed="false">
      <c r="A5" s="3" t="n">
        <v>4</v>
      </c>
      <c r="B5" s="3" t="s">
        <v>69</v>
      </c>
      <c r="C5" s="3" t="s">
        <v>460</v>
      </c>
      <c r="D5" s="3" t="s">
        <v>461</v>
      </c>
      <c r="E5" s="3" t="s">
        <v>459</v>
      </c>
      <c r="F5" s="5" t="s">
        <v>453</v>
      </c>
    </row>
    <row r="6" customFormat="false" ht="23.25" hidden="false" customHeight="true" outlineLevel="0" collapsed="false">
      <c r="A6" s="3" t="n">
        <v>5</v>
      </c>
      <c r="B6" s="3" t="s">
        <v>69</v>
      </c>
      <c r="C6" s="3" t="s">
        <v>462</v>
      </c>
      <c r="D6" s="3" t="s">
        <v>463</v>
      </c>
      <c r="E6" s="3" t="s">
        <v>464</v>
      </c>
      <c r="F6" s="10" t="s">
        <v>465</v>
      </c>
    </row>
    <row r="7" customFormat="false" ht="15" hidden="false" customHeight="true" outlineLevel="0" collapsed="false">
      <c r="A7" s="3" t="n">
        <v>6</v>
      </c>
      <c r="B7" s="3" t="s">
        <v>69</v>
      </c>
      <c r="C7" s="3" t="s">
        <v>466</v>
      </c>
      <c r="D7" s="3" t="s">
        <v>467</v>
      </c>
      <c r="E7" s="3" t="s">
        <v>468</v>
      </c>
      <c r="F7" s="10" t="s">
        <v>465</v>
      </c>
    </row>
    <row r="8" customFormat="false" ht="23.25" hidden="false" customHeight="true" outlineLevel="0" collapsed="false">
      <c r="A8" s="3" t="n">
        <v>7</v>
      </c>
      <c r="B8" s="3" t="s">
        <v>69</v>
      </c>
      <c r="C8" s="3" t="s">
        <v>469</v>
      </c>
      <c r="D8" s="3" t="s">
        <v>470</v>
      </c>
      <c r="E8" s="3" t="s">
        <v>471</v>
      </c>
      <c r="F8" s="10" t="s">
        <v>465</v>
      </c>
    </row>
    <row r="9" customFormat="false" ht="23.25" hidden="false" customHeight="true" outlineLevel="0" collapsed="false">
      <c r="A9" s="3" t="n">
        <v>8</v>
      </c>
      <c r="B9" s="3" t="s">
        <v>69</v>
      </c>
      <c r="C9" s="3" t="s">
        <v>472</v>
      </c>
      <c r="D9" s="3" t="s">
        <v>473</v>
      </c>
      <c r="E9" s="3" t="s">
        <v>474</v>
      </c>
      <c r="F9" s="9" t="s">
        <v>475</v>
      </c>
    </row>
    <row r="10" customFormat="false" ht="23.25" hidden="false" customHeight="true" outlineLevel="0" collapsed="false">
      <c r="A10" s="3" t="n">
        <v>9</v>
      </c>
      <c r="B10" s="3" t="s">
        <v>69</v>
      </c>
      <c r="C10" s="3" t="s">
        <v>476</v>
      </c>
      <c r="D10" s="3" t="s">
        <v>477</v>
      </c>
      <c r="E10" s="3" t="s">
        <v>478</v>
      </c>
      <c r="F10" s="11" t="s">
        <v>479</v>
      </c>
    </row>
    <row r="11" customFormat="false" ht="23.25" hidden="false" customHeight="true" outlineLevel="0" collapsed="false">
      <c r="A11" s="3" t="n">
        <v>10</v>
      </c>
      <c r="B11" s="3" t="s">
        <v>69</v>
      </c>
      <c r="C11" s="3" t="s">
        <v>480</v>
      </c>
      <c r="D11" s="3" t="s">
        <v>481</v>
      </c>
      <c r="E11" s="3" t="s">
        <v>482</v>
      </c>
      <c r="F11" s="10" t="s">
        <v>465</v>
      </c>
    </row>
    <row r="12" customFormat="false" ht="23.25" hidden="false" customHeight="true" outlineLevel="0" collapsed="false">
      <c r="A12" s="3" t="n">
        <v>11</v>
      </c>
      <c r="B12" s="3" t="s">
        <v>69</v>
      </c>
      <c r="C12" s="3" t="s">
        <v>483</v>
      </c>
      <c r="D12" s="3" t="s">
        <v>484</v>
      </c>
      <c r="E12" s="3" t="s">
        <v>485</v>
      </c>
      <c r="F12" s="11" t="s">
        <v>479</v>
      </c>
    </row>
    <row r="13" customFormat="false" ht="23.25" hidden="false" customHeight="true" outlineLevel="0" collapsed="false">
      <c r="A13" s="3" t="n">
        <v>12</v>
      </c>
      <c r="B13" s="3" t="s">
        <v>69</v>
      </c>
      <c r="C13" s="3" t="s">
        <v>486</v>
      </c>
      <c r="D13" s="3" t="s">
        <v>487</v>
      </c>
      <c r="E13" s="3" t="s">
        <v>488</v>
      </c>
      <c r="F13" s="10" t="s">
        <v>465</v>
      </c>
    </row>
    <row r="14" customFormat="false" ht="23.25" hidden="false" customHeight="true" outlineLevel="0" collapsed="false">
      <c r="A14" s="3" t="n">
        <v>13</v>
      </c>
      <c r="B14" s="3" t="s">
        <v>69</v>
      </c>
      <c r="C14" s="3" t="s">
        <v>489</v>
      </c>
      <c r="D14" s="3" t="s">
        <v>490</v>
      </c>
      <c r="E14" s="3" t="s">
        <v>491</v>
      </c>
      <c r="F14" s="10" t="s">
        <v>465</v>
      </c>
    </row>
    <row r="15" customFormat="false" ht="23.25" hidden="false" customHeight="true" outlineLevel="0" collapsed="false">
      <c r="A15" s="3" t="n">
        <v>14</v>
      </c>
      <c r="B15" s="3" t="s">
        <v>96</v>
      </c>
      <c r="C15" s="3" t="s">
        <v>492</v>
      </c>
      <c r="D15" s="3" t="s">
        <v>493</v>
      </c>
      <c r="E15" s="3" t="s">
        <v>494</v>
      </c>
      <c r="F15" s="3" t="s">
        <v>495</v>
      </c>
    </row>
    <row r="16" customFormat="false" ht="23.25" hidden="false" customHeight="true" outlineLevel="0" collapsed="false">
      <c r="A16" s="3" t="n">
        <v>15</v>
      </c>
      <c r="B16" s="3" t="s">
        <v>96</v>
      </c>
      <c r="C16" s="3" t="s">
        <v>496</v>
      </c>
      <c r="D16" s="3" t="s">
        <v>497</v>
      </c>
      <c r="E16" s="3" t="s">
        <v>498</v>
      </c>
      <c r="F16" s="3" t="s">
        <v>499</v>
      </c>
    </row>
    <row r="17" customFormat="false" ht="23.25" hidden="false" customHeight="true" outlineLevel="0" collapsed="false">
      <c r="A17" s="3" t="n">
        <v>16</v>
      </c>
      <c r="B17" s="3" t="s">
        <v>96</v>
      </c>
      <c r="C17" s="3" t="s">
        <v>500</v>
      </c>
      <c r="D17" s="3" t="s">
        <v>501</v>
      </c>
      <c r="E17" s="3" t="s">
        <v>502</v>
      </c>
      <c r="F17" s="10" t="s">
        <v>465</v>
      </c>
    </row>
    <row r="18" customFormat="false" ht="23.25" hidden="false" customHeight="true" outlineLevel="0" collapsed="false">
      <c r="A18" s="3" t="n">
        <v>17</v>
      </c>
      <c r="B18" s="3" t="s">
        <v>127</v>
      </c>
      <c r="C18" s="3" t="s">
        <v>503</v>
      </c>
      <c r="D18" s="3" t="s">
        <v>504</v>
      </c>
      <c r="E18" s="3" t="s">
        <v>505</v>
      </c>
      <c r="F18" s="5" t="s">
        <v>506</v>
      </c>
    </row>
    <row r="19" customFormat="false" ht="23.25" hidden="false" customHeight="true" outlineLevel="0" collapsed="false">
      <c r="A19" s="3" t="n">
        <v>18</v>
      </c>
      <c r="B19" s="3" t="s">
        <v>96</v>
      </c>
      <c r="C19" s="3" t="s">
        <v>507</v>
      </c>
      <c r="D19" s="3" t="s">
        <v>508</v>
      </c>
      <c r="E19" s="3" t="s">
        <v>509</v>
      </c>
      <c r="F19" s="5" t="s">
        <v>453</v>
      </c>
    </row>
    <row r="20" customFormat="false" ht="23.25" hidden="false" customHeight="true" outlineLevel="0" collapsed="false">
      <c r="A20" s="3" t="n">
        <v>19</v>
      </c>
      <c r="B20" s="3" t="s">
        <v>96</v>
      </c>
      <c r="C20" s="3" t="s">
        <v>510</v>
      </c>
      <c r="D20" s="3" t="s">
        <v>511</v>
      </c>
      <c r="E20" s="3" t="s">
        <v>512</v>
      </c>
      <c r="F20" s="10" t="s">
        <v>465</v>
      </c>
    </row>
    <row r="21" customFormat="false" ht="23.25" hidden="false" customHeight="true" outlineLevel="0" collapsed="false">
      <c r="A21" s="3" t="n">
        <v>20</v>
      </c>
      <c r="B21" s="3" t="s">
        <v>181</v>
      </c>
      <c r="C21" s="3" t="s">
        <v>513</v>
      </c>
      <c r="D21" s="3" t="s">
        <v>514</v>
      </c>
      <c r="E21" s="3" t="s">
        <v>515</v>
      </c>
      <c r="F21" s="3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12" t="s">
        <v>517</v>
      </c>
      <c r="B1" s="13"/>
      <c r="C1" s="14"/>
    </row>
    <row r="2" customFormat="false" ht="15" hidden="false" customHeight="true" outlineLevel="0" collapsed="false">
      <c r="A2" s="13"/>
      <c r="B2" s="13"/>
      <c r="C2" s="14"/>
    </row>
    <row r="3" customFormat="false" ht="15" hidden="false" customHeight="true" outlineLevel="0" collapsed="false">
      <c r="A3" s="15" t="s">
        <v>518</v>
      </c>
      <c r="B3" s="13" t="s">
        <v>519</v>
      </c>
      <c r="C3" s="14" t="s">
        <v>520</v>
      </c>
    </row>
    <row r="4" customFormat="false" ht="15" hidden="false" customHeight="true" outlineLevel="0" collapsed="false">
      <c r="A4" s="13" t="s">
        <v>521</v>
      </c>
      <c r="B4" s="13" t="n">
        <f aca="false">COUNTA('GSD Master Tracker'!A2:A53)</f>
        <v>52</v>
      </c>
      <c r="C4" s="14"/>
    </row>
    <row r="5" customFormat="false" ht="15" hidden="false" customHeight="true" outlineLevel="0" collapsed="false">
      <c r="A5" s="13" t="s">
        <v>522</v>
      </c>
      <c r="B5" s="13" t="n">
        <f aca="false">COUNTIF('GSD Master Tracker'!B2:B53,"P0")</f>
        <v>12</v>
      </c>
      <c r="C5" s="14" t="s">
        <v>523</v>
      </c>
    </row>
    <row r="6" customFormat="false" ht="15" hidden="false" customHeight="true" outlineLevel="0" collapsed="false">
      <c r="A6" s="13" t="s">
        <v>524</v>
      </c>
      <c r="B6" s="13" t="n">
        <f aca="false">COUNTIF('GSD Master Tracker'!B2:B53,"P1")</f>
        <v>26</v>
      </c>
      <c r="C6" s="14" t="s">
        <v>525</v>
      </c>
    </row>
    <row r="7" customFormat="false" ht="15" hidden="false" customHeight="true" outlineLevel="0" collapsed="false">
      <c r="A7" s="13" t="s">
        <v>526</v>
      </c>
      <c r="B7" s="13" t="n">
        <f aca="false">COUNTIF('GSD Master Tracker'!B2:B53,"P2")</f>
        <v>9</v>
      </c>
      <c r="C7" s="14" t="s">
        <v>527</v>
      </c>
    </row>
    <row r="8" customFormat="false" ht="15" hidden="false" customHeight="true" outlineLevel="0" collapsed="false">
      <c r="A8" s="13" t="s">
        <v>528</v>
      </c>
      <c r="B8" s="13" t="n">
        <f aca="false">COUNTIF('GSD Master Tracker'!B2:B53,"P3")</f>
        <v>5</v>
      </c>
      <c r="C8" s="14" t="s">
        <v>529</v>
      </c>
    </row>
    <row r="9" customFormat="false" ht="15" hidden="false" customHeight="true" outlineLevel="0" collapsed="false">
      <c r="A9" s="13"/>
      <c r="B9" s="13"/>
      <c r="C9" s="14"/>
    </row>
    <row r="10" customFormat="false" ht="15" hidden="false" customHeight="true" outlineLevel="0" collapsed="false">
      <c r="A10" s="13" t="s">
        <v>530</v>
      </c>
      <c r="B10" s="13" t="n">
        <f aca="false">COUNTIF('GSD Master Tracker'!H2:H53,"NOT STARTED")</f>
        <v>52</v>
      </c>
      <c r="C10" s="14"/>
    </row>
    <row r="11" customFormat="false" ht="15" hidden="false" customHeight="true" outlineLevel="0" collapsed="false">
      <c r="A11" s="13" t="s">
        <v>531</v>
      </c>
      <c r="B11" s="13" t="n">
        <f aca="false">COUNTIF('GSD Master Tracker'!H2:H53,"IN PROGRESS")</f>
        <v>0</v>
      </c>
      <c r="C11" s="14"/>
    </row>
    <row r="12" customFormat="false" ht="15" hidden="false" customHeight="true" outlineLevel="0" collapsed="false">
      <c r="A12" s="13" t="s">
        <v>532</v>
      </c>
      <c r="B12" s="13" t="n">
        <f aca="false">COUNTIF('GSD Master Tracker'!H2:H53,"DONE")</f>
        <v>0</v>
      </c>
      <c r="C12" s="14"/>
    </row>
    <row r="13" customFormat="false" ht="15" hidden="false" customHeight="true" outlineLevel="0" collapsed="false">
      <c r="A13" s="13" t="s">
        <v>533</v>
      </c>
      <c r="B13" s="13" t="n">
        <f aca="false">COUNTIF('GSD Master Tracker'!M2:M53,"YES")</f>
        <v>0</v>
      </c>
      <c r="C13" s="14" t="s">
        <v>534</v>
      </c>
    </row>
    <row r="14" customFormat="false" ht="15" hidden="false" customHeight="true" outlineLevel="0" collapsed="false">
      <c r="A14" s="13"/>
      <c r="B14" s="13"/>
      <c r="C14" s="14"/>
    </row>
    <row r="15" customFormat="false" ht="15" hidden="false" customHeight="true" outlineLevel="0" collapsed="false">
      <c r="A15" s="13" t="s">
        <v>535</v>
      </c>
      <c r="B15" s="13" t="s">
        <v>536</v>
      </c>
      <c r="C15" s="14" t="s">
        <v>537</v>
      </c>
    </row>
    <row r="16" customFormat="false" ht="15" hidden="false" customHeight="true" outlineLevel="0" collapsed="false">
      <c r="A16" s="13" t="s">
        <v>538</v>
      </c>
      <c r="B16" s="13" t="s">
        <v>539</v>
      </c>
      <c r="C16" s="14" t="s">
        <v>540</v>
      </c>
    </row>
    <row r="17" customFormat="false" ht="15" hidden="false" customHeight="true" outlineLevel="0" collapsed="false">
      <c r="A17" s="13"/>
      <c r="B17" s="13"/>
      <c r="C17" s="14"/>
    </row>
    <row r="18" customFormat="false" ht="15" hidden="false" customHeight="true" outlineLevel="0" collapsed="false">
      <c r="A18" s="15" t="s">
        <v>541</v>
      </c>
      <c r="B18" s="13"/>
      <c r="C18" s="14"/>
    </row>
    <row r="19" customFormat="false" ht="15" hidden="false" customHeight="true" outlineLevel="0" collapsed="false">
      <c r="A19" s="13" t="s">
        <v>542</v>
      </c>
      <c r="B19" s="13" t="n">
        <f aca="false">COUNTIF('GSD Master Tracker'!C2:C53,"Auth")+COUNTIF('GSD Master Tracker'!C2:C53,"Auth Setup")</f>
        <v>7</v>
      </c>
      <c r="C19" s="14"/>
    </row>
    <row r="20" customFormat="false" ht="15" hidden="false" customHeight="true" outlineLevel="0" collapsed="false">
      <c r="A20" s="13" t="s">
        <v>543</v>
      </c>
      <c r="B20" s="13" t="n">
        <f aca="false">COUNTIF('GSD Master Tracker'!C2:C53,"Security")</f>
        <v>4</v>
      </c>
      <c r="C20" s="14"/>
    </row>
    <row r="21" customFormat="false" ht="15" hidden="false" customHeight="true" outlineLevel="0" collapsed="false">
      <c r="A21" s="13" t="s">
        <v>544</v>
      </c>
      <c r="B21" s="13" t="n">
        <f aca="false">COUNTIF('GSD Master Tracker'!C2:C53,"Scanner")</f>
        <v>10</v>
      </c>
      <c r="C21" s="14"/>
    </row>
    <row r="22" customFormat="false" ht="15" hidden="false" customHeight="true" outlineLevel="0" collapsed="false">
      <c r="A22" s="13" t="s">
        <v>545</v>
      </c>
      <c r="B22" s="13" t="n">
        <f aca="false">COUNTIF('GSD Master Tracker'!C2:C53,"Dashboard")</f>
        <v>6</v>
      </c>
      <c r="C22" s="14"/>
    </row>
    <row r="23" customFormat="false" ht="15" hidden="false" customHeight="true" outlineLevel="0" collapsed="false">
      <c r="A23" s="13" t="s">
        <v>546</v>
      </c>
      <c r="B23" s="13" t="n">
        <f aca="false">COUNTIF('GSD Master Tracker'!C2:C53,"VIP")</f>
        <v>3</v>
      </c>
      <c r="C23" s="14"/>
    </row>
    <row r="24" customFormat="false" ht="15" hidden="false" customHeight="true" outlineLevel="0" collapsed="false">
      <c r="A24" s="13" t="s">
        <v>547</v>
      </c>
      <c r="B24" s="13" t="n">
        <f aca="false">COUNTIF('GSD Master Tracker'!C2:C53,"Code Quality")</f>
        <v>4</v>
      </c>
      <c r="C24" s="14"/>
    </row>
    <row r="25" customFormat="false" ht="15" hidden="false" customHeight="false" outlineLevel="0" collapsed="false">
      <c r="A25" s="16" t="s">
        <v>548</v>
      </c>
      <c r="B25" s="16" t="n">
        <f aca="false">COUNTIF('GSD Master Tracker'!C2:C53,"Credentials")</f>
        <v>4</v>
      </c>
    </row>
    <row r="26" customFormat="false" ht="15" hidden="false" customHeight="false" outlineLevel="0" collapsed="false">
      <c r="A26" s="16" t="s">
        <v>549</v>
      </c>
      <c r="B26" s="16" t="n">
        <f aca="false">COUNTIF('GSD Master Tracker'!C2:C53,"Auth Setup")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2026-02-13T21:34:22Z</dcterms:created>
  <dc:creator>openpyxl</dc:creator>
  <dc:description/>
  <dc:language>en-US</dc:language>
  <cp:lastModifiedBy/>
  <dcterms:modified xsi:type="dcterms:W3CDTF">2026-02-13T22:27:55Z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